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Data Analytics\Excel\"/>
    </mc:Choice>
  </mc:AlternateContent>
  <xr:revisionPtr revIDLastSave="0" documentId="8_{6C24513A-33EC-4C21-8A63-0B4F8324B6AB}" xr6:coauthVersionLast="47" xr6:coauthVersionMax="47" xr10:uidLastSave="{00000000-0000-0000-0000-000000000000}"/>
  <bookViews>
    <workbookView xWindow="-108" yWindow="-108" windowWidth="23256" windowHeight="12456" xr2:uid="{9B49C506-66D5-440C-83ED-746426688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F3" i="1" a="1"/>
  <c r="F4" i="1" a="1"/>
  <c r="F5" i="1" a="1"/>
  <c r="F6" i="1" a="1"/>
  <c r="F7" i="1" a="1"/>
  <c r="F8" i="1" a="1"/>
  <c r="F9" i="1" a="1"/>
  <c r="F10" i="1" a="1"/>
  <c r="F11" i="1" a="1"/>
  <c r="F12" i="1" a="1"/>
  <c r="F13" i="1" a="1"/>
  <c r="F86" i="1" a="1"/>
  <c r="F87" i="1" a="1"/>
  <c r="F88" i="1" a="1"/>
  <c r="E2" i="1" a="1"/>
  <c r="E3" i="1" a="1"/>
  <c r="E4" i="1" a="1"/>
  <c r="E5" i="1" a="1"/>
  <c r="E6" i="1" a="1"/>
  <c r="E7" i="1" a="1"/>
  <c r="E8" i="1" a="1"/>
  <c r="E9" i="1" a="1"/>
  <c r="E10" i="1" a="1"/>
  <c r="E11" i="1" a="1"/>
  <c r="E12" i="1" a="1"/>
  <c r="E13" i="1" a="1"/>
  <c r="E14" i="1" a="1"/>
  <c r="E15" i="1" a="1"/>
  <c r="E16" i="1" a="1"/>
  <c r="E17" i="1" a="1"/>
  <c r="E18" i="1" a="1"/>
  <c r="E19" i="1" a="1"/>
  <c r="E20" i="1" a="1"/>
  <c r="E21" i="1" a="1"/>
  <c r="E22" i="1" a="1"/>
  <c r="E23" i="1" a="1"/>
  <c r="E24" i="1" a="1"/>
  <c r="E25" i="1" a="1"/>
  <c r="E26" i="1" a="1"/>
  <c r="E27" i="1" a="1"/>
  <c r="E28" i="1" a="1"/>
  <c r="E29" i="1" a="1"/>
  <c r="E30" i="1" a="1"/>
  <c r="E31" i="1" a="1"/>
  <c r="E32" i="1" a="1"/>
  <c r="E33" i="1" a="1"/>
  <c r="E34" i="1" a="1"/>
  <c r="E35" i="1" a="1"/>
  <c r="E36" i="1" a="1"/>
  <c r="E37" i="1" a="1"/>
  <c r="E38" i="1" a="1"/>
  <c r="E39" i="1" a="1"/>
  <c r="E40" i="1" a="1"/>
  <c r="E41" i="1" a="1"/>
  <c r="E42" i="1" a="1"/>
  <c r="E43" i="1" a="1"/>
  <c r="E44" i="1" a="1"/>
  <c r="E45" i="1" a="1"/>
  <c r="E46" i="1" a="1"/>
  <c r="E47" i="1" a="1"/>
  <c r="E48" i="1" a="1"/>
  <c r="E49" i="1" a="1"/>
  <c r="E50" i="1" a="1"/>
  <c r="E51" i="1" a="1"/>
  <c r="E52" i="1" a="1"/>
  <c r="E53" i="1" a="1"/>
  <c r="E54" i="1" a="1"/>
  <c r="E55" i="1" a="1"/>
  <c r="E56" i="1" a="1"/>
  <c r="E57" i="1" a="1"/>
  <c r="E58" i="1" a="1"/>
  <c r="E59" i="1" a="1"/>
  <c r="E60" i="1" a="1"/>
  <c r="E61" i="1" a="1"/>
  <c r="E62" i="1" a="1"/>
  <c r="E63" i="1" a="1"/>
  <c r="E64" i="1" a="1"/>
  <c r="E65" i="1" a="1"/>
  <c r="E66" i="1" a="1"/>
  <c r="E67" i="1" a="1"/>
  <c r="E68" i="1" a="1"/>
  <c r="E69" i="1" a="1"/>
  <c r="E70" i="1" a="1"/>
  <c r="E71" i="1" a="1"/>
  <c r="E72" i="1" a="1"/>
  <c r="E73" i="1" a="1"/>
  <c r="E74" i="1" a="1"/>
  <c r="E75" i="1" a="1"/>
  <c r="E76" i="1" a="1"/>
  <c r="E77" i="1" a="1"/>
  <c r="E78" i="1" a="1"/>
  <c r="E79" i="1" a="1"/>
  <c r="E80" i="1" a="1"/>
  <c r="E81" i="1" a="1"/>
  <c r="E82" i="1" a="1"/>
  <c r="E83" i="1" a="1"/>
  <c r="E84" i="1" a="1"/>
  <c r="E85" i="1" a="1"/>
  <c r="E86" i="1" a="1"/>
  <c r="E87" i="1" a="1"/>
  <c r="E88" i="1" a="1"/>
  <c r="E89" i="1" a="1"/>
  <c r="E90" i="1" a="1"/>
  <c r="E91" i="1" a="1"/>
  <c r="E92" i="1" a="1"/>
  <c r="E93" i="1" a="1"/>
  <c r="E94" i="1" a="1"/>
  <c r="E95" i="1" a="1"/>
  <c r="E96" i="1" a="1"/>
  <c r="E97" i="1" a="1"/>
  <c r="E98" i="1" a="1"/>
  <c r="E99" i="1" a="1"/>
  <c r="E100" i="1" a="1"/>
  <c r="E101" i="1" a="1"/>
  <c r="E102" i="1" a="1"/>
  <c r="E103" i="1" a="1"/>
  <c r="E104" i="1" a="1"/>
  <c r="E105" i="1" a="1"/>
  <c r="E106" i="1" a="1"/>
  <c r="E107" i="1" a="1"/>
  <c r="E108" i="1" a="1"/>
  <c r="E109" i="1" a="1"/>
  <c r="E110" i="1" a="1"/>
  <c r="E111" i="1" a="1"/>
  <c r="E112" i="1" a="1"/>
  <c r="E113" i="1" a="1"/>
  <c r="E114" i="1" a="1"/>
  <c r="E115" i="1" a="1"/>
  <c r="E116" i="1" a="1"/>
  <c r="E117" i="1" a="1"/>
  <c r="E118" i="1" a="1"/>
  <c r="E119" i="1" a="1"/>
  <c r="E120" i="1" a="1"/>
  <c r="E121" i="1" a="1"/>
  <c r="E122" i="1" a="1"/>
  <c r="E123" i="1" a="1"/>
  <c r="E124" i="1" a="1"/>
  <c r="E125" i="1" a="1"/>
  <c r="E126" i="1" a="1"/>
  <c r="E127" i="1" a="1"/>
  <c r="E128" i="1" a="1"/>
  <c r="E129" i="1" a="1"/>
  <c r="E130" i="1" a="1"/>
  <c r="E131" i="1" a="1"/>
  <c r="E132" i="1" a="1"/>
  <c r="E133" i="1" a="1"/>
  <c r="E134" i="1" a="1"/>
  <c r="E135" i="1" a="1"/>
  <c r="E136" i="1" a="1"/>
  <c r="E137" i="1" a="1"/>
  <c r="E138" i="1" a="1"/>
  <c r="E139" i="1" a="1"/>
  <c r="E140" i="1" a="1"/>
  <c r="E141" i="1" a="1"/>
  <c r="E142" i="1" a="1"/>
  <c r="E143" i="1" a="1"/>
  <c r="E144" i="1" a="1"/>
  <c r="E145" i="1" a="1"/>
  <c r="E146" i="1" a="1"/>
  <c r="E147" i="1" a="1"/>
  <c r="E148" i="1" a="1"/>
  <c r="E149" i="1" a="1"/>
  <c r="E150" i="1" a="1"/>
  <c r="E151" i="1" a="1"/>
  <c r="E152" i="1" a="1"/>
  <c r="E153" i="1" a="1"/>
  <c r="E154" i="1" a="1"/>
  <c r="E155" i="1" a="1"/>
  <c r="E156" i="1" a="1"/>
  <c r="E157" i="1" a="1"/>
  <c r="E158" i="1" a="1"/>
  <c r="E159" i="1" a="1"/>
  <c r="E160" i="1" a="1"/>
  <c r="E161" i="1" a="1"/>
  <c r="E162" i="1" a="1"/>
  <c r="E163" i="1" a="1"/>
  <c r="E164" i="1" a="1"/>
  <c r="E165" i="1" a="1"/>
  <c r="E166" i="1" a="1"/>
  <c r="E167" i="1" a="1"/>
  <c r="E168" i="1" a="1"/>
  <c r="E169" i="1" a="1"/>
  <c r="E170" i="1" a="1"/>
  <c r="E171" i="1" a="1"/>
  <c r="E172" i="1" a="1"/>
  <c r="E173" i="1" a="1"/>
  <c r="E174" i="1" a="1"/>
  <c r="E175" i="1" a="1"/>
  <c r="E176" i="1" a="1"/>
  <c r="E177" i="1" a="1"/>
  <c r="E178" i="1" a="1"/>
  <c r="E179" i="1" a="1"/>
  <c r="E180" i="1" a="1"/>
  <c r="E181" i="1" a="1"/>
  <c r="E182" i="1" a="1"/>
  <c r="E183" i="1" a="1"/>
  <c r="E184" i="1" a="1"/>
  <c r="E185" i="1" a="1"/>
  <c r="E186" i="1" a="1"/>
  <c r="E187" i="1" a="1"/>
  <c r="E188" i="1" a="1"/>
  <c r="E189" i="1" a="1"/>
  <c r="E190" i="1" a="1"/>
  <c r="E191" i="1" a="1"/>
  <c r="E192" i="1" a="1"/>
  <c r="E193" i="1" a="1"/>
  <c r="E194" i="1" a="1"/>
  <c r="E195" i="1" a="1"/>
  <c r="E196" i="1" a="1"/>
  <c r="E197" i="1" a="1"/>
  <c r="E198" i="1" a="1"/>
  <c r="E199" i="1" a="1"/>
  <c r="E200" i="1" a="1"/>
  <c r="E201" i="1" a="1"/>
  <c r="AE2" i="1" l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98" i="1"/>
  <c r="AE200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9" i="1"/>
  <c r="AE201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" i="1"/>
  <c r="F89" i="1" a="1"/>
  <c r="F90" i="1" a="1"/>
  <c r="F93" i="1" a="1"/>
  <c r="F91" i="1" a="1"/>
  <c r="F92" i="1" a="1"/>
  <c r="F94" i="1" a="1"/>
  <c r="F95" i="1" a="1"/>
  <c r="F96" i="1" a="1"/>
  <c r="F97" i="1" a="1"/>
  <c r="F98" i="1" a="1"/>
  <c r="F99" i="1" a="1"/>
  <c r="F100" i="1" a="1"/>
  <c r="F101" i="1" a="1"/>
  <c r="F102" i="1" a="1"/>
  <c r="F103" i="1" a="1"/>
  <c r="F104" i="1" a="1"/>
  <c r="F171" i="1" a="1"/>
  <c r="F173" i="1" a="1"/>
  <c r="F177" i="1" a="1"/>
  <c r="F181" i="1" a="1"/>
  <c r="F186" i="1" a="1"/>
  <c r="F191" i="1" a="1"/>
  <c r="F195" i="1" a="1"/>
  <c r="F172" i="1" a="1"/>
  <c r="F174" i="1" a="1"/>
  <c r="F178" i="1" a="1"/>
  <c r="F182" i="1" a="1"/>
  <c r="F183" i="1" a="1"/>
  <c r="F187" i="1" a="1"/>
  <c r="F190" i="1" a="1"/>
  <c r="F194" i="1" a="1"/>
  <c r="F169" i="1" a="1"/>
  <c r="F175" i="1" a="1"/>
  <c r="F179" i="1" a="1"/>
  <c r="F184" i="1" a="1"/>
  <c r="F189" i="1" a="1"/>
  <c r="F193" i="1" a="1"/>
  <c r="F170" i="1" a="1"/>
  <c r="F176" i="1" a="1"/>
  <c r="F180" i="1" a="1"/>
  <c r="F185" i="1" a="1"/>
  <c r="F188" i="1" a="1"/>
  <c r="F192" i="1" a="1"/>
  <c r="F15" i="1" a="1"/>
  <c r="F17" i="1" a="1"/>
  <c r="F19" i="1" a="1"/>
  <c r="F21" i="1" a="1"/>
  <c r="F23" i="1" a="1"/>
  <c r="F25" i="1" a="1"/>
  <c r="F27" i="1" a="1"/>
  <c r="F29" i="1" a="1"/>
  <c r="F31" i="1" a="1"/>
  <c r="F33" i="1" a="1"/>
  <c r="F35" i="1" a="1"/>
  <c r="F37" i="1" a="1"/>
  <c r="F39" i="1" a="1"/>
  <c r="F40" i="1" a="1"/>
  <c r="F43" i="1" a="1"/>
  <c r="F45" i="1" a="1"/>
  <c r="F46" i="1" a="1"/>
  <c r="F48" i="1" a="1"/>
  <c r="F50" i="1" a="1"/>
  <c r="F52" i="1" a="1"/>
  <c r="F54" i="1" a="1"/>
  <c r="F56" i="1" a="1"/>
  <c r="F58" i="1" a="1"/>
  <c r="F60" i="1" a="1"/>
  <c r="F62" i="1" a="1"/>
  <c r="F64" i="1" a="1"/>
  <c r="F66" i="1" a="1"/>
  <c r="F68" i="1" a="1"/>
  <c r="F70" i="1" a="1"/>
  <c r="F72" i="1" a="1"/>
  <c r="F74" i="1" a="1"/>
  <c r="F76" i="1" a="1"/>
  <c r="F78" i="1" a="1"/>
  <c r="F79" i="1" a="1"/>
  <c r="F81" i="1" a="1"/>
  <c r="F83" i="1" a="1"/>
  <c r="F85" i="1" a="1"/>
  <c r="F105" i="1" a="1"/>
  <c r="F106" i="1" a="1"/>
  <c r="F108" i="1" a="1"/>
  <c r="F110" i="1" a="1"/>
  <c r="F111" i="1" a="1"/>
  <c r="F113" i="1" a="1"/>
  <c r="F115" i="1" a="1"/>
  <c r="F117" i="1" a="1"/>
  <c r="F119" i="1" a="1"/>
  <c r="F121" i="1" a="1"/>
  <c r="F122" i="1" a="1"/>
  <c r="F124" i="1" a="1"/>
  <c r="F126" i="1" a="1"/>
  <c r="F127" i="1" a="1"/>
  <c r="F129" i="1" a="1"/>
  <c r="F132" i="1" a="1"/>
  <c r="F134" i="1" a="1"/>
  <c r="F136" i="1" a="1"/>
  <c r="F139" i="1" a="1"/>
  <c r="F140" i="1" a="1"/>
  <c r="F142" i="1" a="1"/>
  <c r="F144" i="1" a="1"/>
  <c r="F146" i="1" a="1"/>
  <c r="F148" i="1" a="1"/>
  <c r="F150" i="1" a="1"/>
  <c r="F152" i="1" a="1"/>
  <c r="F154" i="1" a="1"/>
  <c r="F156" i="1" a="1"/>
  <c r="F159" i="1" a="1"/>
  <c r="F161" i="1" a="1"/>
  <c r="F164" i="1" a="1"/>
  <c r="F166" i="1" a="1"/>
  <c r="F168" i="1" a="1"/>
  <c r="F201" i="1" a="1"/>
  <c r="F14" i="1" a="1"/>
  <c r="F16" i="1" a="1"/>
  <c r="F18" i="1" a="1"/>
  <c r="F20" i="1" a="1"/>
  <c r="F22" i="1" a="1"/>
  <c r="F24" i="1" a="1"/>
  <c r="F26" i="1" a="1"/>
  <c r="F28" i="1" a="1"/>
  <c r="F30" i="1" a="1"/>
  <c r="F32" i="1" a="1"/>
  <c r="F34" i="1" a="1"/>
  <c r="F36" i="1" a="1"/>
  <c r="F38" i="1" a="1"/>
  <c r="F41" i="1" a="1"/>
  <c r="F42" i="1" a="1"/>
  <c r="F44" i="1" a="1"/>
  <c r="F47" i="1" a="1"/>
  <c r="F49" i="1" a="1"/>
  <c r="F51" i="1" a="1"/>
  <c r="F53" i="1" a="1"/>
  <c r="F55" i="1" a="1"/>
  <c r="F57" i="1" a="1"/>
  <c r="F59" i="1" a="1"/>
  <c r="F61" i="1" a="1"/>
  <c r="F63" i="1" a="1"/>
  <c r="F65" i="1" a="1"/>
  <c r="F67" i="1" a="1"/>
  <c r="F69" i="1" a="1"/>
  <c r="F71" i="1" a="1"/>
  <c r="F73" i="1" a="1"/>
  <c r="F75" i="1" a="1"/>
  <c r="F77" i="1" a="1"/>
  <c r="F80" i="1" a="1"/>
  <c r="F82" i="1" a="1"/>
  <c r="F84" i="1" a="1"/>
  <c r="F107" i="1" a="1"/>
  <c r="F109" i="1" a="1"/>
  <c r="F112" i="1" a="1"/>
  <c r="F114" i="1" a="1"/>
  <c r="F116" i="1" a="1"/>
  <c r="F118" i="1" a="1"/>
  <c r="F120" i="1" a="1"/>
  <c r="F123" i="1" a="1"/>
  <c r="F125" i="1" a="1"/>
  <c r="F128" i="1" a="1"/>
  <c r="F130" i="1" a="1"/>
  <c r="F131" i="1" a="1"/>
  <c r="F133" i="1" a="1"/>
  <c r="F135" i="1" a="1"/>
  <c r="F137" i="1" a="1"/>
  <c r="F138" i="1" a="1"/>
  <c r="F141" i="1" a="1"/>
  <c r="F143" i="1" a="1"/>
  <c r="F145" i="1" a="1"/>
  <c r="F147" i="1" a="1"/>
  <c r="F149" i="1" a="1"/>
  <c r="F151" i="1" a="1"/>
  <c r="F153" i="1" a="1"/>
  <c r="F155" i="1" a="1"/>
  <c r="F157" i="1" a="1"/>
  <c r="F158" i="1" a="1"/>
  <c r="F160" i="1" a="1"/>
  <c r="F162" i="1" a="1"/>
  <c r="F163" i="1" a="1"/>
  <c r="F165" i="1" a="1"/>
  <c r="F167" i="1" a="1"/>
  <c r="F196" i="1" a="1"/>
  <c r="F197" i="1" a="1"/>
  <c r="F198" i="1" a="1"/>
  <c r="F199" i="1" a="1"/>
  <c r="F200" i="1" a="1"/>
  <c r="F2" i="1" a="1"/>
  <c r="AC55" i="1"/>
  <c r="AC61" i="1"/>
  <c r="AC65" i="1"/>
  <c r="AC69" i="1"/>
  <c r="AC74" i="1"/>
  <c r="AC79" i="1"/>
  <c r="AC81" i="1"/>
  <c r="AC54" i="1"/>
  <c r="AC60" i="1"/>
  <c r="AC63" i="1"/>
  <c r="AC71" i="1"/>
  <c r="AC76" i="1"/>
  <c r="AC84" i="1"/>
  <c r="AC53" i="1"/>
  <c r="AC58" i="1"/>
  <c r="AC66" i="1"/>
  <c r="AC72" i="1"/>
  <c r="AC75" i="1"/>
  <c r="AC80" i="1"/>
  <c r="AC56" i="1"/>
  <c r="AC59" i="1"/>
  <c r="AC64" i="1"/>
  <c r="AC68" i="1"/>
  <c r="AC73" i="1"/>
  <c r="AC78" i="1"/>
  <c r="AC83" i="1"/>
  <c r="AC52" i="1"/>
  <c r="AC57" i="1"/>
  <c r="AC62" i="1"/>
  <c r="AC67" i="1"/>
  <c r="AC70" i="1"/>
  <c r="AC77" i="1"/>
  <c r="AC82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<sst xmlns="http://schemas.openxmlformats.org/spreadsheetml/2006/main" count="2431" uniqueCount="767">
  <si>
    <t>Patient_ID</t>
  </si>
  <si>
    <t>Patient_Name</t>
  </si>
  <si>
    <t>Gender</t>
  </si>
  <si>
    <t>Age</t>
  </si>
  <si>
    <t>City</t>
  </si>
  <si>
    <t>Department</t>
  </si>
  <si>
    <t>Doctor_Name</t>
  </si>
  <si>
    <t>Appointment_Date</t>
  </si>
  <si>
    <t>Month</t>
  </si>
  <si>
    <t>Appointment_Status</t>
  </si>
  <si>
    <t>Patient_Type</t>
  </si>
  <si>
    <t>Consultation_Fee</t>
  </si>
  <si>
    <t>Lab_Cost</t>
  </si>
  <si>
    <t>Medicine_Cost</t>
  </si>
  <si>
    <t>Room_Charge</t>
  </si>
  <si>
    <t>Insurance</t>
  </si>
  <si>
    <t>Payment_Method</t>
  </si>
  <si>
    <t>Total_Bill</t>
  </si>
  <si>
    <t>Length_of_Stay</t>
  </si>
  <si>
    <t>Satisfaction_Rating</t>
  </si>
  <si>
    <t>P0001</t>
  </si>
  <si>
    <t>Aarav</t>
  </si>
  <si>
    <t>Male</t>
  </si>
  <si>
    <t>Kochi</t>
  </si>
  <si>
    <t>Cardiology</t>
  </si>
  <si>
    <t>Dr. Rahul</t>
  </si>
  <si>
    <t>Completed</t>
  </si>
  <si>
    <t>OP</t>
  </si>
  <si>
    <t>No</t>
  </si>
  <si>
    <t>UPI</t>
  </si>
  <si>
    <t>P0002</t>
  </si>
  <si>
    <t>Diya</t>
  </si>
  <si>
    <t>Female</t>
  </si>
  <si>
    <t>Thrissur</t>
  </si>
  <si>
    <t>Gynecology</t>
  </si>
  <si>
    <t>Dr. Lakshmi</t>
  </si>
  <si>
    <t>IP</t>
  </si>
  <si>
    <t>Yes</t>
  </si>
  <si>
    <t>P0003</t>
  </si>
  <si>
    <t>Rahul</t>
  </si>
  <si>
    <t>Kannur</t>
  </si>
  <si>
    <t>Orthopedics</t>
  </si>
  <si>
    <t>Dr. Joseph</t>
  </si>
  <si>
    <t>Pending</t>
  </si>
  <si>
    <t>Cash</t>
  </si>
  <si>
    <t>P0004</t>
  </si>
  <si>
    <t>Sneha</t>
  </si>
  <si>
    <t>Kozhikode</t>
  </si>
  <si>
    <t>Pediatrics</t>
  </si>
  <si>
    <t>Dr. Priya</t>
  </si>
  <si>
    <t>Card</t>
  </si>
  <si>
    <t>P0005</t>
  </si>
  <si>
    <t>Arjun</t>
  </si>
  <si>
    <t>Kollam</t>
  </si>
  <si>
    <t>Neurology</t>
  </si>
  <si>
    <t>Dr. Ashwin</t>
  </si>
  <si>
    <t>P0006</t>
  </si>
  <si>
    <t>Megha</t>
  </si>
  <si>
    <t>Dermatology</t>
  </si>
  <si>
    <t>Dr. Divya</t>
  </si>
  <si>
    <t>Cancelled</t>
  </si>
  <si>
    <t>P0007</t>
  </si>
  <si>
    <t>Nikhil</t>
  </si>
  <si>
    <t>Palakkad</t>
  </si>
  <si>
    <t>ENT</t>
  </si>
  <si>
    <t>Dr. Arun</t>
  </si>
  <si>
    <t>P0008</t>
  </si>
  <si>
    <t>Anjali</t>
  </si>
  <si>
    <t>Kottayam</t>
  </si>
  <si>
    <t>Dr. Anjali</t>
  </si>
  <si>
    <t>P0009</t>
  </si>
  <si>
    <t>Joseph</t>
  </si>
  <si>
    <t>Malappuram</t>
  </si>
  <si>
    <t>General Medicine</t>
  </si>
  <si>
    <t>Dr. Maya</t>
  </si>
  <si>
    <t>P0010</t>
  </si>
  <si>
    <t>Riya</t>
  </si>
  <si>
    <t>Alappuzha</t>
  </si>
  <si>
    <t>Dr. Vinod</t>
  </si>
  <si>
    <t>P0011</t>
  </si>
  <si>
    <t>Vivek</t>
  </si>
  <si>
    <t>Dr. Vivek</t>
  </si>
  <si>
    <t>P0012</t>
  </si>
  <si>
    <t>Neha</t>
  </si>
  <si>
    <t>Dr. Asha</t>
  </si>
  <si>
    <t>P0013</t>
  </si>
  <si>
    <t>Akhil</t>
  </si>
  <si>
    <t>Dr. Kiran</t>
  </si>
  <si>
    <t>P0014</t>
  </si>
  <si>
    <t>Maya</t>
  </si>
  <si>
    <t>Dr. Suresh</t>
  </si>
  <si>
    <t>P0015</t>
  </si>
  <si>
    <t>Ashwin</t>
  </si>
  <si>
    <t>Dr. Arjun</t>
  </si>
  <si>
    <t>P0016</t>
  </si>
  <si>
    <t>Divya</t>
  </si>
  <si>
    <t>Dr. Reshma</t>
  </si>
  <si>
    <t>P0017</t>
  </si>
  <si>
    <t>Kiran</t>
  </si>
  <si>
    <t>Dr. Neha</t>
  </si>
  <si>
    <t>P0018</t>
  </si>
  <si>
    <t>Lakshmi</t>
  </si>
  <si>
    <t>Dr. Meera</t>
  </si>
  <si>
    <t>P0019</t>
  </si>
  <si>
    <t>Suresh</t>
  </si>
  <si>
    <t>Dr. Rakesh</t>
  </si>
  <si>
    <t>P0020</t>
  </si>
  <si>
    <t>Priya</t>
  </si>
  <si>
    <t>Dr. Sneha</t>
  </si>
  <si>
    <t>P0021</t>
  </si>
  <si>
    <t>Arya</t>
  </si>
  <si>
    <t>P0022</t>
  </si>
  <si>
    <t>Adith</t>
  </si>
  <si>
    <t>P0023</t>
  </si>
  <si>
    <t>Nandana</t>
  </si>
  <si>
    <t>P0024</t>
  </si>
  <si>
    <t>Aravind</t>
  </si>
  <si>
    <t>P0025</t>
  </si>
  <si>
    <t>Keerthana</t>
  </si>
  <si>
    <t>P0026</t>
  </si>
  <si>
    <t>Abhinav</t>
  </si>
  <si>
    <t>P0027</t>
  </si>
  <si>
    <t>Aiswarya</t>
  </si>
  <si>
    <t>P0028</t>
  </si>
  <si>
    <t>Rohit</t>
  </si>
  <si>
    <t>P0029</t>
  </si>
  <si>
    <t>Anjana</t>
  </si>
  <si>
    <t>P0030</t>
  </si>
  <si>
    <t>Vishnu</t>
  </si>
  <si>
    <t>P0031</t>
  </si>
  <si>
    <t>Meenu</t>
  </si>
  <si>
    <t>P0032</t>
  </si>
  <si>
    <t>Sanjay</t>
  </si>
  <si>
    <t>P0033</t>
  </si>
  <si>
    <t>Gayathri</t>
  </si>
  <si>
    <t>P0034</t>
  </si>
  <si>
    <t>Manu</t>
  </si>
  <si>
    <t>P0035</t>
  </si>
  <si>
    <t>Devika</t>
  </si>
  <si>
    <t>P0036</t>
  </si>
  <si>
    <t>Harish</t>
  </si>
  <si>
    <t>P0037</t>
  </si>
  <si>
    <t>Niya</t>
  </si>
  <si>
    <t>P0038</t>
  </si>
  <si>
    <t>Arun</t>
  </si>
  <si>
    <t>P0039</t>
  </si>
  <si>
    <t>Sreya</t>
  </si>
  <si>
    <t>P0040</t>
  </si>
  <si>
    <t>Akshay</t>
  </si>
  <si>
    <t>P0041</t>
  </si>
  <si>
    <t>Athira</t>
  </si>
  <si>
    <t>Dr. Nisha</t>
  </si>
  <si>
    <t>P0042</t>
  </si>
  <si>
    <t>Rakesh</t>
  </si>
  <si>
    <t>P0043</t>
  </si>
  <si>
    <t>Neethu</t>
  </si>
  <si>
    <t>Dr. Riya</t>
  </si>
  <si>
    <t>P0044</t>
  </si>
  <si>
    <t>P0045</t>
  </si>
  <si>
    <t>Anitha</t>
  </si>
  <si>
    <t>Dr. Nithin</t>
  </si>
  <si>
    <t>P0046</t>
  </si>
  <si>
    <t>Vinay</t>
  </si>
  <si>
    <t>P0047</t>
  </si>
  <si>
    <t>Reshma</t>
  </si>
  <si>
    <t>Dr. Kavya</t>
  </si>
  <si>
    <t>P0048</t>
  </si>
  <si>
    <t>P0049</t>
  </si>
  <si>
    <t>Sandra</t>
  </si>
  <si>
    <t>P0050</t>
  </si>
  <si>
    <t>Naveen</t>
  </si>
  <si>
    <t>P0051</t>
  </si>
  <si>
    <t>Amal</t>
  </si>
  <si>
    <t>P0052</t>
  </si>
  <si>
    <t>Aparna</t>
  </si>
  <si>
    <t>P0053</t>
  </si>
  <si>
    <t>Rohini</t>
  </si>
  <si>
    <t>P0054</t>
  </si>
  <si>
    <t>Sachin</t>
  </si>
  <si>
    <t>P0055</t>
  </si>
  <si>
    <t>Meera</t>
  </si>
  <si>
    <t>P0056</t>
  </si>
  <si>
    <t>Ajith</t>
  </si>
  <si>
    <t>P0057</t>
  </si>
  <si>
    <t>Nimisha</t>
  </si>
  <si>
    <t>P0058</t>
  </si>
  <si>
    <t>Harikrishnan</t>
  </si>
  <si>
    <t>P0059</t>
  </si>
  <si>
    <t>Akhila</t>
  </si>
  <si>
    <t>P0060</t>
  </si>
  <si>
    <t>Deepak</t>
  </si>
  <si>
    <t>P0061</t>
  </si>
  <si>
    <t>Anoop</t>
  </si>
  <si>
    <t>P0062</t>
  </si>
  <si>
    <t>P0063</t>
  </si>
  <si>
    <t>Ramesh</t>
  </si>
  <si>
    <t>P0064</t>
  </si>
  <si>
    <t>Keerthi</t>
  </si>
  <si>
    <t>P0065</t>
  </si>
  <si>
    <t>Vishal</t>
  </si>
  <si>
    <t>P0066</t>
  </si>
  <si>
    <t>Nisha</t>
  </si>
  <si>
    <t>P0067</t>
  </si>
  <si>
    <t>Sreenath</t>
  </si>
  <si>
    <t>P0068</t>
  </si>
  <si>
    <t>Anu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</si>
  <si>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</si>
  <si>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</si>
  <si>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</si>
  <si>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</si>
  <si>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</si>
  <si>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</si>
  <si>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</si>
  <si>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</si>
  <si>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</si>
  <si>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Ajay</t>
  </si>
  <si>
    <t>P0078</t>
  </si>
  <si>
    <t>P0079</t>
  </si>
  <si>
    <t>Suraj</t>
  </si>
  <si>
    <t>P0080</t>
  </si>
  <si>
    <t>P0081</t>
  </si>
  <si>
    <t>P0082</t>
  </si>
  <si>
    <t>Nimmy</t>
  </si>
  <si>
    <t>P0083</t>
  </si>
  <si>
    <t>Rajesh</t>
  </si>
  <si>
    <t>P0084</t>
  </si>
  <si>
    <t>P0085</t>
  </si>
  <si>
    <t>P0086</t>
  </si>
  <si>
    <t>P0087</t>
  </si>
  <si>
    <t>Hari</t>
  </si>
  <si>
    <t>P0088</t>
  </si>
  <si>
    <t>Neena</t>
  </si>
  <si>
    <t>P0089</t>
  </si>
  <si>
    <t>P0090</t>
  </si>
  <si>
    <t>P0091</t>
  </si>
  <si>
    <t>Nithin</t>
  </si>
  <si>
    <t>P0092</t>
  </si>
  <si>
    <t>P0093</t>
  </si>
  <si>
    <t>P0094</t>
  </si>
  <si>
    <t>P0095</t>
  </si>
  <si>
    <t>P0096</t>
  </si>
  <si>
    <t>P0097</t>
  </si>
  <si>
    <t>Pradeep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</si>
  <si>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</si>
  <si>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</si>
  <si>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</si>
  <si>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</si>
  <si>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</si>
  <si>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</si>
  <si>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</si>
  <si>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</si>
  <si>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</si>
  <si>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</si>
  <si>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</si>
  <si>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</si>
  <si>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Vinod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</si>
  <si>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</si>
  <si>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</si>
  <si>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</si>
  <si>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</si>
  <si>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</si>
  <si>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</si>
  <si>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</si>
  <si>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</si>
  <si>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</si>
  <si>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</si>
  <si>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</si>
  <si>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</si>
  <si>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Akash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</si>
  <si>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</si>
  <si>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</si>
  <si>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</si>
  <si>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</si>
  <si>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</si>
  <si>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</si>
  <si>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</si>
  <si>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</si>
  <si>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</si>
  <si>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</si>
  <si>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</si>
  <si>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</si>
  <si>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</si>
  <si>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</si>
  <si>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Praveen</t>
  </si>
  <si>
    <t>P0136</t>
  </si>
  <si>
    <t>Kavya</t>
  </si>
  <si>
    <t>P0137</t>
  </si>
  <si>
    <t>P0138</t>
  </si>
  <si>
    <t>P0139</t>
  </si>
  <si>
    <t>Sunil</t>
  </si>
  <si>
    <t>P0140</t>
  </si>
  <si>
    <t>P0141</t>
  </si>
  <si>
    <t>Abhishek</t>
  </si>
  <si>
    <t>P0142</t>
  </si>
  <si>
    <t>P0143</t>
  </si>
  <si>
    <t>P0144</t>
  </si>
  <si>
    <t>P0145</t>
  </si>
  <si>
    <t>P0146</t>
  </si>
  <si>
    <t>P0147</t>
  </si>
  <si>
    <t>Manoj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</si>
  <si>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</si>
  <si>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</si>
  <si>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</si>
  <si>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</si>
  <si>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</si>
  <si>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</si>
  <si>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</si>
  <si>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</si>
  <si>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</si>
  <si>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</si>
  <si>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</si>
  <si>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</si>
  <si>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</si>
  <si>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</si>
  <si>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</si>
  <si>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</si>
  <si>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</si>
  <si>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</si>
  <si>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</si>
  <si>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Amritha</t>
  </si>
  <si>
    <t>P0167</t>
  </si>
  <si>
    <t>P0168</t>
  </si>
  <si>
    <t>P0169</t>
  </si>
  <si>
    <t>Shyam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</si>
  <si>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</si>
  <si>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</si>
  <si>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</si>
  <si>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</si>
  <si>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</si>
  <si>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</si>
  <si>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</si>
  <si>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</si>
  <si>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</si>
  <si>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</si>
  <si>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</si>
  <si>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</si>
  <si>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</si>
  <si>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</si>
  <si>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</si>
  <si>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</si>
  <si>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</si>
  <si>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</si>
  <si>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</si>
  <si>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</si>
  <si>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</si>
  <si>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</si>
  <si>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</si>
  <si>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</si>
  <si>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</si>
  <si>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Kavitha</t>
  </si>
  <si>
    <t>P0195</t>
  </si>
  <si>
    <t>P0196</t>
  </si>
  <si>
    <t>P0197</t>
  </si>
  <si>
    <t>P0198</t>
  </si>
  <si>
    <t>P0199</t>
  </si>
  <si>
    <t>P0200</t>
  </si>
  <si>
    <t>Disease</t>
  </si>
  <si>
    <t>Season</t>
  </si>
  <si>
    <t>Admission_ID</t>
  </si>
  <si>
    <t>ADM0001</t>
  </si>
  <si>
    <t>ADM0002</t>
  </si>
  <si>
    <t>ADM0003</t>
  </si>
  <si>
    <t>ADM0004</t>
  </si>
  <si>
    <t>ADM0005</t>
  </si>
  <si>
    <t>ADM0006</t>
  </si>
  <si>
    <t>ADM0007</t>
  </si>
  <si>
    <t>ADM0008</t>
  </si>
  <si>
    <t>ADM0009</t>
  </si>
  <si>
    <t>ADM0010</t>
  </si>
  <si>
    <t>ADM0011</t>
  </si>
  <si>
    <t>ADM0012</t>
  </si>
  <si>
    <t>ADM0013</t>
  </si>
  <si>
    <t>ADM0014</t>
  </si>
  <si>
    <t>ADM0015</t>
  </si>
  <si>
    <t>ADM0016</t>
  </si>
  <si>
    <t>ADM0017</t>
  </si>
  <si>
    <t>ADM0018</t>
  </si>
  <si>
    <t>ADM0019</t>
  </si>
  <si>
    <t>ADM0020</t>
  </si>
  <si>
    <t>ADM0021</t>
  </si>
  <si>
    <t>ADM0022</t>
  </si>
  <si>
    <t>ADM0023</t>
  </si>
  <si>
    <t>ADM0024</t>
  </si>
  <si>
    <t>ADM0025</t>
  </si>
  <si>
    <t>ADM0026</t>
  </si>
  <si>
    <t>ADM0027</t>
  </si>
  <si>
    <t>ADM0028</t>
  </si>
  <si>
    <t>ADM0029</t>
  </si>
  <si>
    <t>ADM0030</t>
  </si>
  <si>
    <t>ADM0031</t>
  </si>
  <si>
    <t>ADM0032</t>
  </si>
  <si>
    <t>ADM0033</t>
  </si>
  <si>
    <t>ADM0034</t>
  </si>
  <si>
    <t>ADM0035</t>
  </si>
  <si>
    <t>ADM0036</t>
  </si>
  <si>
    <t>ADM0037</t>
  </si>
  <si>
    <t>ADM0038</t>
  </si>
  <si>
    <t>ADM0039</t>
  </si>
  <si>
    <t>ADM0040</t>
  </si>
  <si>
    <t>ADM0041</t>
  </si>
  <si>
    <t>ADM0042</t>
  </si>
  <si>
    <t>ADM0043</t>
  </si>
  <si>
    <t>ADM0044</t>
  </si>
  <si>
    <t>ADM0045</t>
  </si>
  <si>
    <t>ADM0046</t>
  </si>
  <si>
    <t>ADM0047</t>
  </si>
  <si>
    <t>ADM0048</t>
  </si>
  <si>
    <t>ADM0049</t>
  </si>
  <si>
    <t>ADM0050</t>
  </si>
  <si>
    <t>ADM0051</t>
  </si>
  <si>
    <t>ADM0052</t>
  </si>
  <si>
    <t>ADM0053</t>
  </si>
  <si>
    <t>ADM0054</t>
  </si>
  <si>
    <t>ADM0055</t>
  </si>
  <si>
    <t>ADM0056</t>
  </si>
  <si>
    <t>ADM0057</t>
  </si>
  <si>
    <t>ADM0058</t>
  </si>
  <si>
    <t>ADM0059</t>
  </si>
  <si>
    <t>ADM0060</t>
  </si>
  <si>
    <t>ADM0061</t>
  </si>
  <si>
    <t>ADM0062</t>
  </si>
  <si>
    <t>ADM0063</t>
  </si>
  <si>
    <t>ADM0064</t>
  </si>
  <si>
    <t>ADM0065</t>
  </si>
  <si>
    <t>ADM0066</t>
  </si>
  <si>
    <t>ADM0067</t>
  </si>
  <si>
    <t>ADM0068</t>
  </si>
  <si>
    <t>ADM0069</t>
  </si>
  <si>
    <t>ADM0070</t>
  </si>
  <si>
    <t>ADM0071</t>
  </si>
  <si>
    <t>ADM0072</t>
  </si>
  <si>
    <t>ADM0073</t>
  </si>
  <si>
    <t>ADM0074</t>
  </si>
  <si>
    <t>ADM0075</t>
  </si>
  <si>
    <t>ADM0076</t>
  </si>
  <si>
    <t>ADM0077</t>
  </si>
  <si>
    <t>ADM0078</t>
  </si>
  <si>
    <t>ADM0079</t>
  </si>
  <si>
    <t>ADM0080</t>
  </si>
  <si>
    <t>ADM0081</t>
  </si>
  <si>
    <t>ADM0082</t>
  </si>
  <si>
    <t>ADM0083</t>
  </si>
  <si>
    <t>ADM0084</t>
  </si>
  <si>
    <t>ADM0085</t>
  </si>
  <si>
    <t>ADM0086</t>
  </si>
  <si>
    <t>ADM0087</t>
  </si>
  <si>
    <t>ADM0088</t>
  </si>
  <si>
    <t>ADM0089</t>
  </si>
  <si>
    <t>ADM0090</t>
  </si>
  <si>
    <t>ADM0091</t>
  </si>
  <si>
    <t>ADM0092</t>
  </si>
  <si>
    <t>ADM0093</t>
  </si>
  <si>
    <t>ADM0094</t>
  </si>
  <si>
    <t>ADM0095</t>
  </si>
  <si>
    <t>ADM0096</t>
  </si>
  <si>
    <t>ADM0097</t>
  </si>
  <si>
    <t>ADM0098</t>
  </si>
  <si>
    <t>ADM0099</t>
  </si>
  <si>
    <t>ADM0100</t>
  </si>
  <si>
    <t>ADM0101</t>
  </si>
  <si>
    <t>ADM0102</t>
  </si>
  <si>
    <t>ADM0103</t>
  </si>
  <si>
    <t>ADM0104</t>
  </si>
  <si>
    <t>ADM0105</t>
  </si>
  <si>
    <t>ADM0106</t>
  </si>
  <si>
    <t>ADM0107</t>
  </si>
  <si>
    <t>ADM0108</t>
  </si>
  <si>
    <t>ADM0109</t>
  </si>
  <si>
    <t>ADM0110</t>
  </si>
  <si>
    <t>ADM0111</t>
  </si>
  <si>
    <t>ADM0112</t>
  </si>
  <si>
    <t>ADM0113</t>
  </si>
  <si>
    <t>ADM0114</t>
  </si>
  <si>
    <t>ADM0115</t>
  </si>
  <si>
    <t>ADM0116</t>
  </si>
  <si>
    <t>ADM0117</t>
  </si>
  <si>
    <t>ADM0118</t>
  </si>
  <si>
    <t>ADM0119</t>
  </si>
  <si>
    <t>ADM0120</t>
  </si>
  <si>
    <t>ADM0121</t>
  </si>
  <si>
    <t>ADM0122</t>
  </si>
  <si>
    <t>ADM0123</t>
  </si>
  <si>
    <t>ADM0124</t>
  </si>
  <si>
    <t>ADM0125</t>
  </si>
  <si>
    <t>ADM0126</t>
  </si>
  <si>
    <t>ADM0127</t>
  </si>
  <si>
    <t>ADM0128</t>
  </si>
  <si>
    <t>ADM0129</t>
  </si>
  <si>
    <t>ADM0130</t>
  </si>
  <si>
    <t>ADM0131</t>
  </si>
  <si>
    <t>ADM0132</t>
  </si>
  <si>
    <t>ADM0133</t>
  </si>
  <si>
    <t>ADM0134</t>
  </si>
  <si>
    <t>ADM0135</t>
  </si>
  <si>
    <t>ADM0136</t>
  </si>
  <si>
    <t>ADM0137</t>
  </si>
  <si>
    <t>ADM0138</t>
  </si>
  <si>
    <t>ADM0139</t>
  </si>
  <si>
    <t>ADM0140</t>
  </si>
  <si>
    <t>ADM0141</t>
  </si>
  <si>
    <t>ADM0142</t>
  </si>
  <si>
    <t>ADM0143</t>
  </si>
  <si>
    <t>ADM0144</t>
  </si>
  <si>
    <t>ADM0145</t>
  </si>
  <si>
    <t>ADM0146</t>
  </si>
  <si>
    <t>ADM0147</t>
  </si>
  <si>
    <t>ADM0148</t>
  </si>
  <si>
    <t>ADM0149</t>
  </si>
  <si>
    <t>ADM0150</t>
  </si>
  <si>
    <t>ADM0151</t>
  </si>
  <si>
    <t>ADM0152</t>
  </si>
  <si>
    <t>ADM0153</t>
  </si>
  <si>
    <t>ADM0154</t>
  </si>
  <si>
    <t>ADM0155</t>
  </si>
  <si>
    <t>ADM0156</t>
  </si>
  <si>
    <t>ADM0157</t>
  </si>
  <si>
    <t>ADM0158</t>
  </si>
  <si>
    <t>ADM0159</t>
  </si>
  <si>
    <t>ADM0160</t>
  </si>
  <si>
    <t>ADM0161</t>
  </si>
  <si>
    <t>ADM0162</t>
  </si>
  <si>
    <t>ADM0163</t>
  </si>
  <si>
    <t>ADM0164</t>
  </si>
  <si>
    <t>ADM0165</t>
  </si>
  <si>
    <t>ADM0166</t>
  </si>
  <si>
    <t>ADM0167</t>
  </si>
  <si>
    <t>ADM0168</t>
  </si>
  <si>
    <t>ADM0169</t>
  </si>
  <si>
    <t>ADM0170</t>
  </si>
  <si>
    <t>ADM0171</t>
  </si>
  <si>
    <t>ADM0172</t>
  </si>
  <si>
    <t>ADM0173</t>
  </si>
  <si>
    <t>ADM0174</t>
  </si>
  <si>
    <t>ADM0175</t>
  </si>
  <si>
    <t>ADM0176</t>
  </si>
  <si>
    <t>ADM0177</t>
  </si>
  <si>
    <t>ADM0178</t>
  </si>
  <si>
    <t>ADM0179</t>
  </si>
  <si>
    <t>ADM0180</t>
  </si>
  <si>
    <t>ADM0181</t>
  </si>
  <si>
    <t>ADM0182</t>
  </si>
  <si>
    <t>ADM0183</t>
  </si>
  <si>
    <t>ADM0184</t>
  </si>
  <si>
    <t>ADM0185</t>
  </si>
  <si>
    <t>ADM0186</t>
  </si>
  <si>
    <t>ADM0187</t>
  </si>
  <si>
    <t>ADM0188</t>
  </si>
  <si>
    <t>ADM0189</t>
  </si>
  <si>
    <t>ADM0190</t>
  </si>
  <si>
    <t>ADM0191</t>
  </si>
  <si>
    <t>ADM0192</t>
  </si>
  <si>
    <t>ADM0193</t>
  </si>
  <si>
    <t>ADM0194</t>
  </si>
  <si>
    <t>ADM0195</t>
  </si>
  <si>
    <t>ADM0196</t>
  </si>
  <si>
    <t>ADM0197</t>
  </si>
  <si>
    <t>ADM0198</t>
  </si>
  <si>
    <t>ADM0199</t>
  </si>
  <si>
    <t>ADM0200</t>
  </si>
  <si>
    <t>Discharge_ID</t>
  </si>
  <si>
    <t>DIS0001</t>
  </si>
  <si>
    <t>DIS0002</t>
  </si>
  <si>
    <t>DIS0003</t>
  </si>
  <si>
    <t>DIS0004</t>
  </si>
  <si>
    <t>DIS0005</t>
  </si>
  <si>
    <t>DIS0006</t>
  </si>
  <si>
    <t>DIS0007</t>
  </si>
  <si>
    <t>DIS0008</t>
  </si>
  <si>
    <t>DIS0009</t>
  </si>
  <si>
    <t>DIS0010</t>
  </si>
  <si>
    <t>DIS0011</t>
  </si>
  <si>
    <t>DIS0012</t>
  </si>
  <si>
    <t>DIS0013</t>
  </si>
  <si>
    <t>DIS0014</t>
  </si>
  <si>
    <t>DIS0015</t>
  </si>
  <si>
    <t>DIS0016</t>
  </si>
  <si>
    <t>DIS0017</t>
  </si>
  <si>
    <t>DIS0018</t>
  </si>
  <si>
    <t>DIS0019</t>
  </si>
  <si>
    <t>DIS0020</t>
  </si>
  <si>
    <t>DIS0021</t>
  </si>
  <si>
    <t>DIS0022</t>
  </si>
  <si>
    <t>DIS0023</t>
  </si>
  <si>
    <t>DIS0024</t>
  </si>
  <si>
    <t>DIS0025</t>
  </si>
  <si>
    <t>DIS0026</t>
  </si>
  <si>
    <t>DIS0027</t>
  </si>
  <si>
    <t>DIS0028</t>
  </si>
  <si>
    <t>DIS0029</t>
  </si>
  <si>
    <t>DIS0030</t>
  </si>
  <si>
    <t>DIS0031</t>
  </si>
  <si>
    <t>DIS0032</t>
  </si>
  <si>
    <t>DIS0033</t>
  </si>
  <si>
    <t>DIS0034</t>
  </si>
  <si>
    <t>DIS0035</t>
  </si>
  <si>
    <t>DIS0036</t>
  </si>
  <si>
    <t>DIS0037</t>
  </si>
  <si>
    <t>DIS0038</t>
  </si>
  <si>
    <t>DIS0039</t>
  </si>
  <si>
    <t>DIS0040</t>
  </si>
  <si>
    <t>DIS0041</t>
  </si>
  <si>
    <t>DIS0042</t>
  </si>
  <si>
    <t>DIS0043</t>
  </si>
  <si>
    <t>DIS0044</t>
  </si>
  <si>
    <t>DIS0045</t>
  </si>
  <si>
    <t>DIS0046</t>
  </si>
  <si>
    <t>DIS0047</t>
  </si>
  <si>
    <t>DIS0048</t>
  </si>
  <si>
    <t>DIS0049</t>
  </si>
  <si>
    <t>DIS0050</t>
  </si>
  <si>
    <t>DIS0051</t>
  </si>
  <si>
    <t>DIS0052</t>
  </si>
  <si>
    <t>DIS0053</t>
  </si>
  <si>
    <t>DIS0054</t>
  </si>
  <si>
    <t>DIS0055</t>
  </si>
  <si>
    <t>DIS0056</t>
  </si>
  <si>
    <t>DIS0057</t>
  </si>
  <si>
    <t>DIS0058</t>
  </si>
  <si>
    <t>DIS0059</t>
  </si>
  <si>
    <t>DIS0060</t>
  </si>
  <si>
    <t>DIS0061</t>
  </si>
  <si>
    <t>DIS0062</t>
  </si>
  <si>
    <t>DIS0063</t>
  </si>
  <si>
    <t>DIS0064</t>
  </si>
  <si>
    <t>DIS0065</t>
  </si>
  <si>
    <t>DIS0066</t>
  </si>
  <si>
    <t>DIS0067</t>
  </si>
  <si>
    <t>DIS0068</t>
  </si>
  <si>
    <t>DIS0069</t>
  </si>
  <si>
    <t>DIS0070</t>
  </si>
  <si>
    <t>DIS0071</t>
  </si>
  <si>
    <t>DIS0072</t>
  </si>
  <si>
    <t>DIS0073</t>
  </si>
  <si>
    <t>DIS0074</t>
  </si>
  <si>
    <t>DIS0075</t>
  </si>
  <si>
    <t>DIS0076</t>
  </si>
  <si>
    <t>DIS0077</t>
  </si>
  <si>
    <t>DIS0078</t>
  </si>
  <si>
    <t>DIS0079</t>
  </si>
  <si>
    <t>DIS0080</t>
  </si>
  <si>
    <t>DIS0081</t>
  </si>
  <si>
    <t>DIS0082</t>
  </si>
  <si>
    <t>DIS0083</t>
  </si>
  <si>
    <t>DIS0084</t>
  </si>
  <si>
    <t>DIS0085</t>
  </si>
  <si>
    <t>DIS0086</t>
  </si>
  <si>
    <t>DIS0087</t>
  </si>
  <si>
    <t>DIS0088</t>
  </si>
  <si>
    <t>DIS0089</t>
  </si>
  <si>
    <t>DIS0090</t>
  </si>
  <si>
    <t>DIS0091</t>
  </si>
  <si>
    <t>DIS0092</t>
  </si>
  <si>
    <t>DIS0093</t>
  </si>
  <si>
    <t>DIS0094</t>
  </si>
  <si>
    <t>DIS0095</t>
  </si>
  <si>
    <t>DIS0096</t>
  </si>
  <si>
    <t>DIS0097</t>
  </si>
  <si>
    <t>DIS0098</t>
  </si>
  <si>
    <t>DIS0099</t>
  </si>
  <si>
    <t>DIS0100</t>
  </si>
  <si>
    <t>DIS0101</t>
  </si>
  <si>
    <t>DIS0102</t>
  </si>
  <si>
    <t>DIS0103</t>
  </si>
  <si>
    <t>DIS0104</t>
  </si>
  <si>
    <t>DIS0105</t>
  </si>
  <si>
    <t>DIS0106</t>
  </si>
  <si>
    <t>DIS0107</t>
  </si>
  <si>
    <t>DIS0108</t>
  </si>
  <si>
    <t>DIS0109</t>
  </si>
  <si>
    <t>DIS0110</t>
  </si>
  <si>
    <t>DIS0111</t>
  </si>
  <si>
    <t>DIS0112</t>
  </si>
  <si>
    <t>DIS0113</t>
  </si>
  <si>
    <t>DIS0114</t>
  </si>
  <si>
    <t>DIS0115</t>
  </si>
  <si>
    <t>DIS0116</t>
  </si>
  <si>
    <t>DIS0117</t>
  </si>
  <si>
    <t>DIS0118</t>
  </si>
  <si>
    <t>DIS0119</t>
  </si>
  <si>
    <t>DIS0120</t>
  </si>
  <si>
    <t>DIS0121</t>
  </si>
  <si>
    <t>DIS0122</t>
  </si>
  <si>
    <t>DIS0123</t>
  </si>
  <si>
    <t>DIS0124</t>
  </si>
  <si>
    <t>DIS0125</t>
  </si>
  <si>
    <t>DIS0126</t>
  </si>
  <si>
    <t>DIS0127</t>
  </si>
  <si>
    <t>DIS0128</t>
  </si>
  <si>
    <t>DIS0129</t>
  </si>
  <si>
    <t>DIS0130</t>
  </si>
  <si>
    <t>DIS0131</t>
  </si>
  <si>
    <t>DIS0132</t>
  </si>
  <si>
    <t>DIS0133</t>
  </si>
  <si>
    <t>DIS0134</t>
  </si>
  <si>
    <t>DIS0135</t>
  </si>
  <si>
    <t>DIS0136</t>
  </si>
  <si>
    <t>DIS0137</t>
  </si>
  <si>
    <t>DIS0138</t>
  </si>
  <si>
    <t>DIS0139</t>
  </si>
  <si>
    <t>DIS0140</t>
  </si>
  <si>
    <t>DIS0141</t>
  </si>
  <si>
    <t>DIS0142</t>
  </si>
  <si>
    <t>DIS0143</t>
  </si>
  <si>
    <t>DIS0144</t>
  </si>
  <si>
    <t>DIS0145</t>
  </si>
  <si>
    <t>DIS0146</t>
  </si>
  <si>
    <t>DIS0147</t>
  </si>
  <si>
    <t>DIS0148</t>
  </si>
  <si>
    <t>DIS0149</t>
  </si>
  <si>
    <t>DIS0150</t>
  </si>
  <si>
    <t>DIS0151</t>
  </si>
  <si>
    <t>DIS0152</t>
  </si>
  <si>
    <t>DIS0153</t>
  </si>
  <si>
    <t>DIS0154</t>
  </si>
  <si>
    <t>DIS0155</t>
  </si>
  <si>
    <t>DIS0156</t>
  </si>
  <si>
    <t>DIS0157</t>
  </si>
  <si>
    <t>DIS0158</t>
  </si>
  <si>
    <t>DIS0159</t>
  </si>
  <si>
    <t>DIS0160</t>
  </si>
  <si>
    <t>DIS0161</t>
  </si>
  <si>
    <t>DIS0162</t>
  </si>
  <si>
    <t>DIS0163</t>
  </si>
  <si>
    <t>DIS0164</t>
  </si>
  <si>
    <t>DIS0165</t>
  </si>
  <si>
    <t>DIS0166</t>
  </si>
  <si>
    <t>DIS0167</t>
  </si>
  <si>
    <t>DIS0168</t>
  </si>
  <si>
    <t>DIS0169</t>
  </si>
  <si>
    <t>DIS0170</t>
  </si>
  <si>
    <t>DIS0171</t>
  </si>
  <si>
    <t>DIS0172</t>
  </si>
  <si>
    <t>DIS0173</t>
  </si>
  <si>
    <t>DIS0174</t>
  </si>
  <si>
    <t>DIS0175</t>
  </si>
  <si>
    <t>DIS0176</t>
  </si>
  <si>
    <t>DIS0177</t>
  </si>
  <si>
    <t>DIS0178</t>
  </si>
  <si>
    <t>DIS0179</t>
  </si>
  <si>
    <t>DIS0180</t>
  </si>
  <si>
    <t>DIS0181</t>
  </si>
  <si>
    <t>DIS0182</t>
  </si>
  <si>
    <t>DIS0183</t>
  </si>
  <si>
    <t>DIS0184</t>
  </si>
  <si>
    <t>DIS0185</t>
  </si>
  <si>
    <t>DIS0186</t>
  </si>
  <si>
    <t>DIS0187</t>
  </si>
  <si>
    <t>DIS0188</t>
  </si>
  <si>
    <t>DIS0189</t>
  </si>
  <si>
    <t>DIS0190</t>
  </si>
  <si>
    <t>DIS0191</t>
  </si>
  <si>
    <t>DIS0192</t>
  </si>
  <si>
    <t>DIS0193</t>
  </si>
  <si>
    <t>DIS0194</t>
  </si>
  <si>
    <t>DIS0195</t>
  </si>
  <si>
    <t>DIS0196</t>
  </si>
  <si>
    <t>DIS0197</t>
  </si>
  <si>
    <t>DIS0198</t>
  </si>
  <si>
    <t>DIS0199</t>
  </si>
  <si>
    <t>DIS0200</t>
  </si>
  <si>
    <t>Admission_Date</t>
  </si>
  <si>
    <t>Discharge_Date</t>
  </si>
  <si>
    <t>Ward_Type</t>
  </si>
  <si>
    <t>Bed_Number</t>
  </si>
  <si>
    <t>Month_number</t>
  </si>
  <si>
    <t>Bed Status</t>
  </si>
  <si>
    <t>Admission_Type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</si>
</sst>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F3F75-2A48-4BB9-B658-E0283F83BD5E}" name="Table1" displayName="Table1" ref="A1:AE201" totalsRowShown="0">
  <autoFilter ref="A1:AE201" xr:uid="{EBBF3F75-2A48-4BB9-B658-E0283F83BD5E}"/>
  <tableColumns count="31">
    <tableColumn id="1" xr3:uid="{F7F57A34-2BB3-4745-92E9-49910F227447}" name="Patient_ID"/>
    <tableColumn id="2" xr3:uid="{3A7A0AD2-F1D2-42E6-BAF6-0DAB6DAA756A}" name="Patient_Name"/>
    <tableColumn id="3" xr3:uid="{0610A33E-DFAD-4622-9685-9D7BD68ADF96}" name="Gender"/>
    <tableColumn id="4" xr3:uid="{A797A604-E239-4E43-A874-6D86AE38E591}" name="Age"/>
    <tableColumn id="21" xr3:uid="{9ADCB049-6C66-4A5C-A529-BC3E633662EC}" name="Disease" dataDxfId="9">
      <calculatedColumnFormula array="1">_xlfn.IFS(
H2="Cardiology",CHOOSE(RANDBETWEEN(1,6),"Hypertension","Arrhythmia","Angina","Heart Failure","Chest Pain","Coronary Artery Disease"),
H2="General Medicine",CHOOSE(RANDBETWEEN(1,6),"Viral Fever","Influenza","Diabetes","Gastritis","Typhoid","Food Poisoning"),
H2="Orthopedics",CHOOSE(RANDBETWEEN(1,6),"Fracture","Arthritis","Back Pain","Joint Pain","Knee Injury","Shoulder Dislocation"),
H2="Neurology",CHOOSE(RANDBETWEEN(1,6),"Migraine","Stroke","Epilepsy","Vertigo","Parkinson's Disease","Peripheral Neuropathy"),
H2="Pediatrics",CHOOSE(RANDBETWEEN(1,6),"Common Cold","Asthma","Pneumonia","Ear Infection","Viral Fever","Stomach Infection"),
H2="Dermatology",CHOOSE(RANDBETWEEN(1,6),"Acne","Eczema","Psoriasis","Fungal Infection","Heat Rash","Contact Dermatitis"),
H2="ENT",CHOOSE(RANDBETWEEN(1,6),"Sinusitis","Tonsillitis","Ear Infection","Throat Infection","Allergic Rhinitis","Otitis Media"),
H2="Gynecology",CHOOSE(RANDBETWEEN(1,6),"PCOS","UTI","Pregnancy Checkup","Menstrual Disorder","Ovarian Cyst","Endometriosis")
)</calculatedColumnFormula>
    </tableColumn>
    <tableColumn id="22" xr3:uid="{29190C7E-B62D-47AA-AE25-697029A525BF}" name="Season" dataDxfId="8">
      <calculatedColumnFormula array="1">_xlfn.SWITCH(K2,
"January","Winter",
"February","Winter",
"March","Summer",
"April","Summer",
"May","Summer",
"June","Monsoon",
"July","Monsoon",
"August","Monsoon",
"September","Monsoon",
"October","Post-Monsoon",
"November","Post-Monsoon",
"December","Winter")</calculatedColumnFormula>
    </tableColumn>
    <tableColumn id="5" xr3:uid="{CE596FCC-8B93-4FE4-9B31-E39DECBE057C}" name="City"/>
    <tableColumn id="6" xr3:uid="{9C146952-FA7C-467B-8675-A75CEFD45E70}" name="Department"/>
    <tableColumn id="7" xr3:uid="{7F1C15FF-8E09-43B5-9499-3F0228CF2F0E}" name="Doctor_Name"/>
    <tableColumn id="8" xr3:uid="{EFAC5AD8-2176-44F4-9C78-5EF6D514EA07}" name="Appointment_Date" dataDxfId="7"/>
    <tableColumn id="9" xr3:uid="{F4A2F1B2-4495-4C6C-AD25-704E05FF3A1E}" name="Month">
      <calculatedColumnFormula>TEXT(J2,"MMMM")</calculatedColumnFormula>
    </tableColumn>
    <tableColumn id="29" xr3:uid="{F74DBED4-4D9D-4B8F-9F41-70C12C4F2A29}" name="Month_number" dataDxfId="6">
      <calculatedColumnFormula>MONTH(J2)</calculatedColumnFormula>
    </tableColumn>
    <tableColumn id="10" xr3:uid="{483B7C6D-7645-4890-A971-F47F02684266}" name="Appointment_Status"/>
    <tableColumn id="11" xr3:uid="{47BC60A3-8DCD-484A-A5A3-461F4082045E}" name="Patient_Type"/>
    <tableColumn id="12" xr3:uid="{18F36119-DFDB-46A8-8A81-36C4ED3C35E9}" name="Consultation_Fee"/>
    <tableColumn id="13" xr3:uid="{CA39A77D-29E9-47DD-B6E1-B0217B5C1868}" name="Lab_Cost"/>
    <tableColumn id="14" xr3:uid="{98A10D26-34AF-433B-BC5F-107E7014B28F}" name="Medicine_Cost"/>
    <tableColumn id="15" xr3:uid="{B8E96679-407E-424F-A327-0F37D745BECA}" name="Room_Charge"/>
    <tableColumn id="16" xr3:uid="{A28CA691-EBD9-43C0-86CF-693C9D8DFB8D}" name="Insurance"/>
    <tableColumn id="17" xr3:uid="{032B02DE-74CE-4689-8968-BD420FEDAAF9}" name="Payment_Method"/>
    <tableColumn id="18" xr3:uid="{3E559C54-BF3F-4E46-8925-6DD10F75AAA5}" name="Total_Bill"/>
    <tableColumn id="19" xr3:uid="{97674F9F-1120-412B-8E8E-77EC0E5165E4}" name="Length_of_Stay"/>
    <tableColumn id="20" xr3:uid="{FBF4757B-A04C-425D-A19C-D7F39A1C66D9}" name="Satisfaction_Rating"/>
    <tableColumn id="23" xr3:uid="{40F899FC-68B3-432D-9776-0C6325FED46B}" name="Admission_ID"/>
    <tableColumn id="24" xr3:uid="{F29B4661-FB2D-4FB8-AF9B-682806A20775}" name="Discharge_ID"/>
    <tableColumn id="25" xr3:uid="{97DCA830-6CBB-4FF8-97C1-CA986F9238B5}" name="Admission_Date" dataDxfId="5"/>
    <tableColumn id="26" xr3:uid="{4D998E20-F071-419F-B60F-4389FC07C88D}" name="Discharge_Date" dataDxfId="4">
      <calculatedColumnFormula>Table1[[#This Row],[Admission_Date]]+Table1[[#This Row],[Length_of_Stay]]</calculatedColumnFormula>
    </tableColumn>
    <tableColumn id="27" xr3:uid="{78E8C71B-FA17-47A2-89DE-7C6BC50ED464}" name="Ward_Type" dataDxfId="3">
      <calculatedColumnFormula>IF(N2="OP","N/A",CHOOSE(RANDBETWEEN(1,4),"General Ward","Semi Private","Private Room","ICU"))</calculatedColumnFormula>
    </tableColumn>
    <tableColumn id="28" xr3:uid="{D7A02980-D733-40C1-BA85-233FBF34053E}" name="Bed_Number" dataDxfId="2">
      <calculatedColumnFormula>IF(AB2="General Ward","GW"&amp;TEXT(COUNTIF($AB$2:AB2,"General Ward"),"000"),IF(AB2="Semi Private","SP"&amp;TEXT(COUNTIF($AB$2:AB2,"Semi Private"),"000"),IF(AB2="Private Room","PR"&amp;TEXT(COUNTIF($AB$2:AB2,"Private Room"),"000"),IF(AB2="ICU","ICU"&amp;TEXT(COUNTIF($AB$2:AB2,"ICU"),"000"),"N/A"))))</calculatedColumnFormula>
    </tableColumn>
    <tableColumn id="30" xr3:uid="{1CE46D17-9B25-4277-9223-5DEBE0DC669F}" name="Bed Status" dataDxfId="1">
      <calculatedColumnFormula>IF(AB2="N/A","Not Admitted",IF(RAND()&lt;0.5,"Occupied","Available"))</calculatedColumnFormula>
    </tableColumn>
    <tableColumn id="31" xr3:uid="{3BBE808D-4292-4E9B-BB24-99A26C291F53}" name="Admission_Type" dataDxfId="0">
      <calculatedColumnFormula>IF(AB2="N/A","N/A",
IF(RAND()&lt;0.2,"Emergency",
IF(RAND()&lt;0.5,"Scheduled",
IF(RAND()&lt;0.8,"Walk-in","Referral"))))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9CCE-F2D9-4099-9A33-2091CC3C55CE}">
  <dimension ref="A1:AE201"/>
  <sheetViews>
    <sheetView tabSelected="1" topLeftCell="Y1" zoomScale="75" zoomScaleNormal="51" workbookViewId="0">
      <selection activeCell="AJ18" sqref="AJ18"/>
    </sheetView>
  </sheetViews>
  <sheetFormatPr defaultRowHeight="14.4" x14ac:dyDescent="0.3"/>
  <cols>
    <col min="1" max="1" width="14.109375" customWidth="1"/>
    <col min="2" max="2" width="16.109375" customWidth="1"/>
    <col min="3" max="3" width="12.5546875" customWidth="1"/>
    <col min="4" max="4" width="9" bestFit="1" customWidth="1"/>
    <col min="5" max="5" width="21.88671875" customWidth="1"/>
    <col min="6" max="6" width="17.33203125" customWidth="1"/>
    <col min="7" max="7" width="14.77734375" customWidth="1"/>
    <col min="8" max="8" width="18.77734375" customWidth="1"/>
    <col min="9" max="9" width="16.44140625" customWidth="1"/>
    <col min="10" max="10" width="20.109375" customWidth="1"/>
    <col min="11" max="11" width="15.5546875" customWidth="1"/>
    <col min="12" max="12" width="25.88671875" customWidth="1"/>
    <col min="13" max="13" width="16.44140625" customWidth="1"/>
    <col min="14" max="14" width="19.33203125" customWidth="1"/>
    <col min="15" max="15" width="18.21875" customWidth="1"/>
    <col min="16" max="16" width="19.44140625" customWidth="1"/>
    <col min="17" max="17" width="17.77734375" customWidth="1"/>
    <col min="18" max="18" width="13.6640625" customWidth="1"/>
    <col min="19" max="19" width="21.109375" customWidth="1"/>
    <col min="20" max="20" width="19.109375" customWidth="1"/>
    <col min="21" max="21" width="20.109375" customWidth="1"/>
    <col min="22" max="22" width="20.21875" customWidth="1"/>
    <col min="23" max="23" width="17.109375" customWidth="1"/>
    <col min="24" max="24" width="18.44140625" customWidth="1"/>
    <col min="25" max="25" width="17" customWidth="1"/>
    <col min="26" max="26" width="18.109375" customWidth="1"/>
    <col min="27" max="27" width="15.6640625" customWidth="1"/>
    <col min="28" max="28" width="14.88671875" customWidth="1"/>
    <col min="29" max="29" width="15" customWidth="1"/>
    <col min="30" max="30" width="14.6640625" customWidth="1"/>
    <col min="31" max="31" width="11.7773437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356</v>
      </c>
      <c r="F1" t="s">
        <v>357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764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358</v>
      </c>
      <c r="Y1" t="s">
        <v>559</v>
      </c>
      <c r="Z1" t="s">
        <v>760</v>
      </c>
      <c r="AA1" t="s">
        <v>761</v>
      </c>
      <c r="AB1" t="s">
        <v>762</v>
      </c>
      <c r="AC1" t="s">
        <v>763</v>
      </c>
      <c r="AD1" t="s">
        <v>765</v>
      </c>
      <c r="AE1" t="s">
        <v>766</v>
      </c>
    </row>
    <row r="2" spans="1:31" x14ac:dyDescent="0.3">
      <c r="A2" t="s">
        <v>20</v>
      </c>
      <c r="B2" t="s">
        <v>21</v>
      </c>
      <c r="C2" t="s">
        <v>22</v>
      </c>
      <c r="D2">
        <v>35</v>
      </c>
      <c r="E2" t="str" cm="1">
        <f t="array" aca="1" ref="E2" ca="1">_xlfn.IFS(
H2="Cardiology",CHOOSE(RANDBETWEEN(1,6),"Hypertension","Arrhythmia","Angina","Heart Failure","Chest Pain","Coronary Artery Disease"),
H2="General Medicine",CHOOSE(RANDBETWEEN(1,6),"Viral Fever","Influenza","Diabetes","Gastritis","Typhoid","Food Poisoning"),
H2="Orthopedics",CHOOSE(RANDBETWEEN(1,6),"Fracture","Arthritis","Back Pain","Joint Pain","Knee Injury","Shoulder Dislocation"),
H2="Neurology",CHOOSE(RANDBETWEEN(1,6),"Migraine","Stroke","Epilepsy","Vertigo","Parkinson's Disease","Peripheral Neuropathy"),
H2="Pediatrics",CHOOSE(RANDBETWEEN(1,6),"Common Cold","Asthma","Pneumonia","Ear Infection","Viral Fever","Stomach Infection"),
H2="Dermatology",CHOOSE(RANDBETWEEN(1,6),"Acne","Eczema","Psoriasis","Fungal Infection","Heat Rash","Contact Dermatitis"),
H2="ENT",CHOOSE(RANDBETWEEN(1,6),"Sinusitis","Tonsillitis","Ear Infection","Throat Infection","Allergic Rhinitis","Otitis Media"),
H2="Gynecology",CHOOSE(RANDBETWEEN(1,6),"PCOS","UTI","Pregnancy Checkup","Menstrual Disorder","Ovarian Cyst","Endometriosis")
)</f>
        <v>Coronary Artery Disease</v>
      </c>
      <c r="F2" t="str" cm="1">
        <f t="array" ref="F2">_xlfn.SWITCH(K2,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2" t="s">
        <v>23</v>
      </c>
      <c r="H2" t="s">
        <v>24</v>
      </c>
      <c r="I2" t="s">
        <v>25</v>
      </c>
      <c r="J2" s="1">
        <v>45662</v>
      </c>
      <c r="K2" t="str">
        <f>TEXT(J2,"MMMM")</f>
        <v>January</v>
      </c>
      <c r="L2">
        <f t="shared" ref="L2:L33" si="0">MONTH(J2)</f>
        <v>1</v>
      </c>
      <c r="M2" t="s">
        <v>26</v>
      </c>
      <c r="N2" t="s">
        <v>27</v>
      </c>
      <c r="O2">
        <v>1200</v>
      </c>
      <c r="P2">
        <v>1500</v>
      </c>
      <c r="Q2">
        <v>800</v>
      </c>
      <c r="R2">
        <v>0</v>
      </c>
      <c r="S2" t="s">
        <v>28</v>
      </c>
      <c r="T2" t="s">
        <v>29</v>
      </c>
      <c r="U2">
        <v>3500</v>
      </c>
      <c r="V2">
        <v>0</v>
      </c>
      <c r="W2">
        <v>4.8</v>
      </c>
      <c r="X2" t="s">
        <v>359</v>
      </c>
      <c r="Y2" t="s">
        <v>560</v>
      </c>
      <c r="Z2" s="1">
        <v>45662</v>
      </c>
      <c r="AA2" s="1">
        <f>Table1[[#This Row],[Admission_Date]]+Table1[[#This Row],[Length_of_Stay]]</f>
        <v>45662</v>
      </c>
      <c r="AB2" t="str">
        <f t="shared" ref="AB2:AB33" ca="1" si="1">IF(N2="OP","N/A",CHOOSE(RANDBETWEEN(1,4),"General Ward","Semi Private","Private Room","ICU"))</f>
        <v>N/A</v>
      </c>
      <c r="AC2" t="str">
        <f ca="1">IF(AB2="General Ward","GW"&amp;TEXT(COUNTIF($AB$2:AB2,"General Ward"),"000"),IF(AB2="Semi Private","SP"&amp;TEXT(COUNTIF($AB$2:AB2,"Semi Private"),"000"),IF(AB2="Private Room","PR"&amp;TEXT(COUNTIF($AB$2:AB2,"Private Room"),"000"),IF(AB2="ICU","ICU"&amp;TEXT(COUNTIF($AB$2:AB2,"ICU"),"000"),"N/A"))))</f>
        <v>N/A</v>
      </c>
      <c r="AD2" t="str">
        <f ca="1">IF(AB2="N/A","Not Admitted",IF(RAND()&lt;0.5,"Occupied","Available"))</f>
        <v>Not Admitted</v>
      </c>
      <c r="AE2" s="2" t="str">
        <f t="shared" ref="AE2:AE33" ca="1" si="2">IF(AB2="N/A","N/A",
IF(RAND()&lt;0.2,"Emergency",
IF(RAND()&lt;0.5,"Scheduled",
IF(RAND()&lt;0.8,"Walk-in","Referral"))))</f>
        <v>N/A</v>
      </c>
    </row>
    <row r="3" spans="1:31" x14ac:dyDescent="0.3">
      <c r="A3" t="s">
        <v>30</v>
      </c>
      <c r="B3" t="s">
        <v>31</v>
      </c>
      <c r="C3" t="s">
        <v>32</v>
      </c>
      <c r="D3">
        <v>28</v>
      </c>
      <c r="E3" t="str" cm="1">
        <f t="array" aca="1" ref="E3" ca="1">_xlfn.IFS(
H3="Cardiology",CHOOSE(RANDBETWEEN(1,6),"Hypertension","Arrhythmia","Angina","Heart Failure","Chest Pain","Coronary Artery Disease"),
H3="General Medicine",CHOOSE(RANDBETWEEN(1,6),"Viral Fever","Influenza","Diabetes","Gastritis","Typhoid","Food Poisoning"),
H3="Orthopedics",CHOOSE(RANDBETWEEN(1,6),"Fracture","Arthritis","Back Pain","Joint Pain","Knee Injury","Shoulder Dislocation"),
H3="Neurology",CHOOSE(RANDBETWEEN(1,6),"Migraine","Stroke","Epilepsy","Vertigo","Parkinson's Disease","Peripheral Neuropathy"),
H3="Pediatrics",CHOOSE(RANDBETWEEN(1,6),"Common Cold","Asthma","Pneumonia","Ear Infection","Viral Fever","Stomach Infection"),
H3="Dermatology",CHOOSE(RANDBETWEEN(1,6),"Acne","Eczema","Psoriasis","Fungal Infection","Heat Rash","Contact Dermatitis"),
H3="ENT",CHOOSE(RANDBETWEEN(1,6),"Sinusitis","Tonsillitis","Ear Infection","Throat Infection","Allergic Rhinitis","Otitis Media"),
H3="Gynecology",CHOOSE(RANDBETWEEN(1,6),"PCOS","UTI","Pregnancy Checkup","Menstrual Disorder","Ovarian Cyst","Endometriosis")
)</f>
        <v>PCOS</v>
      </c>
      <c r="F3" t="str" cm="1">
        <f t="array" ref="F3">_xlfn.SWITCH(K3,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3" t="s">
        <v>33</v>
      </c>
      <c r="H3" t="s">
        <v>34</v>
      </c>
      <c r="I3" t="s">
        <v>35</v>
      </c>
      <c r="J3" s="1">
        <v>45665</v>
      </c>
      <c r="K3" t="str">
        <f t="shared" ref="K3:K66" si="3">TEXT(J3,"MMMM")</f>
        <v>January</v>
      </c>
      <c r="L3">
        <f t="shared" si="0"/>
        <v>1</v>
      </c>
      <c r="M3" t="s">
        <v>26</v>
      </c>
      <c r="N3" t="s">
        <v>36</v>
      </c>
      <c r="O3">
        <v>1500</v>
      </c>
      <c r="P3">
        <v>3000</v>
      </c>
      <c r="Q3">
        <v>2500</v>
      </c>
      <c r="R3">
        <v>12000</v>
      </c>
      <c r="S3" t="s">
        <v>37</v>
      </c>
      <c r="T3" t="s">
        <v>15</v>
      </c>
      <c r="U3">
        <v>19000</v>
      </c>
      <c r="V3">
        <v>3</v>
      </c>
      <c r="W3">
        <v>4.9000000000000004</v>
      </c>
      <c r="X3" t="s">
        <v>360</v>
      </c>
      <c r="Y3" t="s">
        <v>561</v>
      </c>
      <c r="Z3" s="1">
        <v>45665</v>
      </c>
      <c r="AA3" s="1">
        <f>Table1[[#This Row],[Admission_Date]]+Table1[[#This Row],[Length_of_Stay]]</f>
        <v>45668</v>
      </c>
      <c r="AB3" t="str">
        <f t="shared" ca="1" si="1"/>
        <v>Private Room</v>
      </c>
      <c r="AC3" t="str">
        <f ca="1">IF(AB3="General Ward","GW"&amp;TEXT(COUNTIF($AB$2:AB3,"General Ward"),"000"),IF(AB3="Semi Private","SP"&amp;TEXT(COUNTIF($AB$2:AB3,"Semi Private"),"000"),IF(AB3="Private Room","PR"&amp;TEXT(COUNTIF($AB$2:AB3,"Private Room"),"000"),IF(AB3="ICU","ICU"&amp;TEXT(COUNTIF($AB$2:AB3,"ICU"),"000"),"N/A"))))</f>
        <v>PR001</v>
      </c>
      <c r="AD3" t="str">
        <f t="shared" ref="AD3:AD66" ca="1" si="4">IF(AB3="N/A","Not Admitted",IF(RAND()&lt;0.5,"Occupied","Available"))</f>
        <v>Occupied</v>
      </c>
      <c r="AE3" s="2" t="str">
        <f t="shared" ca="1" si="2"/>
        <v>Scheduled</v>
      </c>
    </row>
    <row r="4" spans="1:31" x14ac:dyDescent="0.3">
      <c r="A4" t="s">
        <v>38</v>
      </c>
      <c r="B4" t="s">
        <v>39</v>
      </c>
      <c r="C4" t="s">
        <v>22</v>
      </c>
      <c r="D4">
        <v>46</v>
      </c>
      <c r="E4" t="str" cm="1">
        <f t="array" aca="1" ref="E4" ca="1">_xlfn.IFS(
H4="Cardiology",CHOOSE(RANDBETWEEN(1,6),"Hypertension","Arrhythmia","Angina","Heart Failure","Chest Pain","Coronary Artery Disease"),
H4="General Medicine",CHOOSE(RANDBETWEEN(1,6),"Viral Fever","Influenza","Diabetes","Gastritis","Typhoid","Food Poisoning"),
H4="Orthopedics",CHOOSE(RANDBETWEEN(1,6),"Fracture","Arthritis","Back Pain","Joint Pain","Knee Injury","Shoulder Dislocation"),
H4="Neurology",CHOOSE(RANDBETWEEN(1,6),"Migraine","Stroke","Epilepsy","Vertigo","Parkinson's Disease","Peripheral Neuropathy"),
H4="Pediatrics",CHOOSE(RANDBETWEEN(1,6),"Common Cold","Asthma","Pneumonia","Ear Infection","Viral Fever","Stomach Infection"),
H4="Dermatology",CHOOSE(RANDBETWEEN(1,6),"Acne","Eczema","Psoriasis","Fungal Infection","Heat Rash","Contact Dermatitis"),
H4="ENT",CHOOSE(RANDBETWEEN(1,6),"Sinusitis","Tonsillitis","Ear Infection","Throat Infection","Allergic Rhinitis","Otitis Media"),
H4="Gynecology",CHOOSE(RANDBETWEEN(1,6),"PCOS","UTI","Pregnancy Checkup","Menstrual Disorder","Ovarian Cyst","Endometriosis")
)</f>
        <v>Knee Injury</v>
      </c>
      <c r="F4" t="str" cm="1">
        <f t="array" ref="F4">_xlfn.SWITCH(K4,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4" t="s">
        <v>40</v>
      </c>
      <c r="H4" t="s">
        <v>41</v>
      </c>
      <c r="I4" t="s">
        <v>42</v>
      </c>
      <c r="J4" s="1">
        <v>45667</v>
      </c>
      <c r="K4" t="str">
        <f t="shared" si="3"/>
        <v>January</v>
      </c>
      <c r="L4">
        <f t="shared" si="0"/>
        <v>1</v>
      </c>
      <c r="M4" t="s">
        <v>43</v>
      </c>
      <c r="N4" t="s">
        <v>27</v>
      </c>
      <c r="O4">
        <v>1000</v>
      </c>
      <c r="P4">
        <v>2500</v>
      </c>
      <c r="Q4">
        <v>1200</v>
      </c>
      <c r="R4">
        <v>0</v>
      </c>
      <c r="S4" t="s">
        <v>28</v>
      </c>
      <c r="T4" t="s">
        <v>44</v>
      </c>
      <c r="U4">
        <v>4700</v>
      </c>
      <c r="V4">
        <v>0</v>
      </c>
      <c r="W4">
        <v>4.2</v>
      </c>
      <c r="X4" t="s">
        <v>361</v>
      </c>
      <c r="Y4" t="s">
        <v>562</v>
      </c>
      <c r="Z4" s="1">
        <v>45667</v>
      </c>
      <c r="AA4" s="1">
        <f>Table1[[#This Row],[Admission_Date]]+Table1[[#This Row],[Length_of_Stay]]</f>
        <v>45667</v>
      </c>
      <c r="AB4" t="str">
        <f t="shared" ca="1" si="1"/>
        <v>N/A</v>
      </c>
      <c r="AC4" t="str">
        <f ca="1">IF(AB4="General Ward","GW"&amp;TEXT(COUNTIF($AB$2:AB4,"General Ward"),"000"),IF(AB4="Semi Private","SP"&amp;TEXT(COUNTIF($AB$2:AB4,"Semi Private"),"000"),IF(AB4="Private Room","PR"&amp;TEXT(COUNTIF($AB$2:AB4,"Private Room"),"000"),IF(AB4="ICU","ICU"&amp;TEXT(COUNTIF($AB$2:AB4,"ICU"),"000"),"N/A"))))</f>
        <v>N/A</v>
      </c>
      <c r="AD4" t="str">
        <f t="shared" ca="1" si="4"/>
        <v>Not Admitted</v>
      </c>
      <c r="AE4" s="2" t="str">
        <f t="shared" ca="1" si="2"/>
        <v>N/A</v>
      </c>
    </row>
    <row r="5" spans="1:31" x14ac:dyDescent="0.3">
      <c r="A5" t="s">
        <v>45</v>
      </c>
      <c r="B5" t="s">
        <v>46</v>
      </c>
      <c r="C5" t="s">
        <v>32</v>
      </c>
      <c r="D5">
        <v>12</v>
      </c>
      <c r="E5" t="str" cm="1">
        <f t="array" aca="1" ref="E5" ca="1">_xlfn.IFS(
H5="Cardiology",CHOOSE(RANDBETWEEN(1,6),"Hypertension","Arrhythmia","Angina","Heart Failure","Chest Pain","Coronary Artery Disease"),
H5="General Medicine",CHOOSE(RANDBETWEEN(1,6),"Viral Fever","Influenza","Diabetes","Gastritis","Typhoid","Food Poisoning"),
H5="Orthopedics",CHOOSE(RANDBETWEEN(1,6),"Fracture","Arthritis","Back Pain","Joint Pain","Knee Injury","Shoulder Dislocation"),
H5="Neurology",CHOOSE(RANDBETWEEN(1,6),"Migraine","Stroke","Epilepsy","Vertigo","Parkinson's Disease","Peripheral Neuropathy"),
H5="Pediatrics",CHOOSE(RANDBETWEEN(1,6),"Common Cold","Asthma","Pneumonia","Ear Infection","Viral Fever","Stomach Infection"),
H5="Dermatology",CHOOSE(RANDBETWEEN(1,6),"Acne","Eczema","Psoriasis","Fungal Infection","Heat Rash","Contact Dermatitis"),
H5="ENT",CHOOSE(RANDBETWEEN(1,6),"Sinusitis","Tonsillitis","Ear Infection","Throat Infection","Allergic Rhinitis","Otitis Media"),
H5="Gynecology",CHOOSE(RANDBETWEEN(1,6),"PCOS","UTI","Pregnancy Checkup","Menstrual Disorder","Ovarian Cyst","Endometriosis")
)</f>
        <v>Common Cold</v>
      </c>
      <c r="F5" t="str" cm="1">
        <f t="array" ref="F5">_xlfn.SWITCH(K5,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5" t="s">
        <v>47</v>
      </c>
      <c r="H5" t="s">
        <v>48</v>
      </c>
      <c r="I5" t="s">
        <v>49</v>
      </c>
      <c r="J5" s="1">
        <v>45669</v>
      </c>
      <c r="K5" t="str">
        <f t="shared" si="3"/>
        <v>January</v>
      </c>
      <c r="L5">
        <f t="shared" si="0"/>
        <v>1</v>
      </c>
      <c r="M5" t="s">
        <v>26</v>
      </c>
      <c r="N5" t="s">
        <v>27</v>
      </c>
      <c r="O5">
        <v>700</v>
      </c>
      <c r="P5">
        <v>800</v>
      </c>
      <c r="Q5">
        <v>500</v>
      </c>
      <c r="R5">
        <v>0</v>
      </c>
      <c r="S5" t="s">
        <v>28</v>
      </c>
      <c r="T5" t="s">
        <v>50</v>
      </c>
      <c r="U5">
        <v>2000</v>
      </c>
      <c r="V5">
        <v>0</v>
      </c>
      <c r="W5">
        <v>4.7</v>
      </c>
      <c r="X5" t="s">
        <v>362</v>
      </c>
      <c r="Y5" t="s">
        <v>563</v>
      </c>
      <c r="Z5" s="1">
        <v>45669</v>
      </c>
      <c r="AA5" s="1">
        <f>Table1[[#This Row],[Admission_Date]]+Table1[[#This Row],[Length_of_Stay]]</f>
        <v>45669</v>
      </c>
      <c r="AB5" t="str">
        <f t="shared" ca="1" si="1"/>
        <v>N/A</v>
      </c>
      <c r="AC5" t="str">
        <f ca="1">IF(AB5="General Ward","GW"&amp;TEXT(COUNTIF($AB$2:AB5,"General Ward"),"000"),IF(AB5="Semi Private","SP"&amp;TEXT(COUNTIF($AB$2:AB5,"Semi Private"),"000"),IF(AB5="Private Room","PR"&amp;TEXT(COUNTIF($AB$2:AB5,"Private Room"),"000"),IF(AB5="ICU","ICU"&amp;TEXT(COUNTIF($AB$2:AB5,"ICU"),"000"),"N/A"))))</f>
        <v>N/A</v>
      </c>
      <c r="AD5" t="str">
        <f t="shared" ca="1" si="4"/>
        <v>Not Admitted</v>
      </c>
      <c r="AE5" s="2" t="str">
        <f t="shared" ca="1" si="2"/>
        <v>N/A</v>
      </c>
    </row>
    <row r="6" spans="1:31" x14ac:dyDescent="0.3">
      <c r="A6" t="s">
        <v>51</v>
      </c>
      <c r="B6" t="s">
        <v>52</v>
      </c>
      <c r="C6" t="s">
        <v>22</v>
      </c>
      <c r="D6">
        <v>58</v>
      </c>
      <c r="E6" t="str" cm="1">
        <f t="array" aca="1" ref="E6" ca="1">_xlfn.IFS(
H6="Cardiology",CHOOSE(RANDBETWEEN(1,6),"Hypertension","Arrhythmia","Angina","Heart Failure","Chest Pain","Coronary Artery Disease"),
H6="General Medicine",CHOOSE(RANDBETWEEN(1,6),"Viral Fever","Influenza","Diabetes","Gastritis","Typhoid","Food Poisoning"),
H6="Orthopedics",CHOOSE(RANDBETWEEN(1,6),"Fracture","Arthritis","Back Pain","Joint Pain","Knee Injury","Shoulder Dislocation"),
H6="Neurology",CHOOSE(RANDBETWEEN(1,6),"Migraine","Stroke","Epilepsy","Vertigo","Parkinson's Disease","Peripheral Neuropathy"),
H6="Pediatrics",CHOOSE(RANDBETWEEN(1,6),"Common Cold","Asthma","Pneumonia","Ear Infection","Viral Fever","Stomach Infection"),
H6="Dermatology",CHOOSE(RANDBETWEEN(1,6),"Acne","Eczema","Psoriasis","Fungal Infection","Heat Rash","Contact Dermatitis"),
H6="ENT",CHOOSE(RANDBETWEEN(1,6),"Sinusitis","Tonsillitis","Ear Infection","Throat Infection","Allergic Rhinitis","Otitis Media"),
H6="Gynecology",CHOOSE(RANDBETWEEN(1,6),"PCOS","UTI","Pregnancy Checkup","Menstrual Disorder","Ovarian Cyst","Endometriosis")
)</f>
        <v>Peripheral Neuropathy</v>
      </c>
      <c r="F6" t="str" cm="1">
        <f t="array" ref="F6">_xlfn.SWITCH(K6,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6" t="s">
        <v>53</v>
      </c>
      <c r="H6" t="s">
        <v>54</v>
      </c>
      <c r="I6" t="s">
        <v>55</v>
      </c>
      <c r="J6" s="1">
        <v>45672</v>
      </c>
      <c r="K6" t="str">
        <f t="shared" si="3"/>
        <v>January</v>
      </c>
      <c r="L6">
        <f t="shared" si="0"/>
        <v>1</v>
      </c>
      <c r="M6" t="s">
        <v>26</v>
      </c>
      <c r="N6" t="s">
        <v>36</v>
      </c>
      <c r="O6">
        <v>1800</v>
      </c>
      <c r="P6">
        <v>6000</v>
      </c>
      <c r="Q6">
        <v>3500</v>
      </c>
      <c r="R6">
        <v>18000</v>
      </c>
      <c r="S6" t="s">
        <v>37</v>
      </c>
      <c r="T6" t="s">
        <v>15</v>
      </c>
      <c r="U6">
        <v>29300</v>
      </c>
      <c r="V6">
        <v>5</v>
      </c>
      <c r="W6">
        <v>4.9000000000000004</v>
      </c>
      <c r="X6" t="s">
        <v>363</v>
      </c>
      <c r="Y6" t="s">
        <v>564</v>
      </c>
      <c r="Z6" s="1">
        <v>45672</v>
      </c>
      <c r="AA6" s="1">
        <f>Table1[[#This Row],[Admission_Date]]+Table1[[#This Row],[Length_of_Stay]]</f>
        <v>45677</v>
      </c>
      <c r="AB6" t="str">
        <f t="shared" ca="1" si="1"/>
        <v>ICU</v>
      </c>
      <c r="AC6" t="str">
        <f ca="1">IF(AB6="General Ward","GW"&amp;TEXT(COUNTIF($AB$2:AB6,"General Ward"),"000"),IF(AB6="Semi Private","SP"&amp;TEXT(COUNTIF($AB$2:AB6,"Semi Private"),"000"),IF(AB6="Private Room","PR"&amp;TEXT(COUNTIF($AB$2:AB6,"Private Room"),"000"),IF(AB6="ICU","ICU"&amp;TEXT(COUNTIF($AB$2:AB6,"ICU"),"000"),"N/A"))))</f>
        <v>ICU001</v>
      </c>
      <c r="AD6" t="str">
        <f t="shared" ca="1" si="4"/>
        <v>Occupied</v>
      </c>
      <c r="AE6" s="2" t="str">
        <f t="shared" ca="1" si="2"/>
        <v>Emergency</v>
      </c>
    </row>
    <row r="7" spans="1:31" x14ac:dyDescent="0.3">
      <c r="A7" t="s">
        <v>56</v>
      </c>
      <c r="B7" t="s">
        <v>57</v>
      </c>
      <c r="C7" t="s">
        <v>32</v>
      </c>
      <c r="D7">
        <v>31</v>
      </c>
      <c r="E7" t="str" cm="1">
        <f t="array" aca="1" ref="E7" ca="1">_xlfn.IFS(
H7="Cardiology",CHOOSE(RANDBETWEEN(1,6),"Hypertension","Arrhythmia","Angina","Heart Failure","Chest Pain","Coronary Artery Disease"),
H7="General Medicine",CHOOSE(RANDBETWEEN(1,6),"Viral Fever","Influenza","Diabetes","Gastritis","Typhoid","Food Poisoning"),
H7="Orthopedics",CHOOSE(RANDBETWEEN(1,6),"Fracture","Arthritis","Back Pain","Joint Pain","Knee Injury","Shoulder Dislocation"),
H7="Neurology",CHOOSE(RANDBETWEEN(1,6),"Migraine","Stroke","Epilepsy","Vertigo","Parkinson's Disease","Peripheral Neuropathy"),
H7="Pediatrics",CHOOSE(RANDBETWEEN(1,6),"Common Cold","Asthma","Pneumonia","Ear Infection","Viral Fever","Stomach Infection"),
H7="Dermatology",CHOOSE(RANDBETWEEN(1,6),"Acne","Eczema","Psoriasis","Fungal Infection","Heat Rash","Contact Dermatitis"),
H7="ENT",CHOOSE(RANDBETWEEN(1,6),"Sinusitis","Tonsillitis","Ear Infection","Throat Infection","Allergic Rhinitis","Otitis Media"),
H7="Gynecology",CHOOSE(RANDBETWEEN(1,6),"PCOS","UTI","Pregnancy Checkup","Menstrual Disorder","Ovarian Cyst","Endometriosis")
)</f>
        <v>Psoriasis</v>
      </c>
      <c r="F7" t="str" cm="1">
        <f t="array" ref="F7">_xlfn.SWITCH(K7,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7" t="s">
        <v>23</v>
      </c>
      <c r="H7" t="s">
        <v>58</v>
      </c>
      <c r="I7" t="s">
        <v>59</v>
      </c>
      <c r="J7" s="1">
        <v>45675</v>
      </c>
      <c r="K7" t="str">
        <f t="shared" si="3"/>
        <v>January</v>
      </c>
      <c r="L7">
        <f t="shared" si="0"/>
        <v>1</v>
      </c>
      <c r="M7" t="s">
        <v>60</v>
      </c>
      <c r="N7" t="s">
        <v>27</v>
      </c>
      <c r="O7">
        <v>900</v>
      </c>
      <c r="P7">
        <v>0</v>
      </c>
      <c r="Q7">
        <v>600</v>
      </c>
      <c r="R7">
        <v>0</v>
      </c>
      <c r="S7" t="s">
        <v>28</v>
      </c>
      <c r="T7" t="s">
        <v>29</v>
      </c>
      <c r="U7">
        <v>1500</v>
      </c>
      <c r="V7">
        <v>0</v>
      </c>
      <c r="W7">
        <v>3.8</v>
      </c>
      <c r="X7" t="s">
        <v>364</v>
      </c>
      <c r="Y7" t="s">
        <v>565</v>
      </c>
      <c r="Z7" s="1">
        <v>45675</v>
      </c>
      <c r="AA7" s="1">
        <f>Table1[[#This Row],[Admission_Date]]+Table1[[#This Row],[Length_of_Stay]]</f>
        <v>45675</v>
      </c>
      <c r="AB7" t="str">
        <f t="shared" ca="1" si="1"/>
        <v>N/A</v>
      </c>
      <c r="AC7" t="str">
        <f ca="1">IF(AB7="General Ward","GW"&amp;TEXT(COUNTIF($AB$2:AB7,"General Ward"),"000"),IF(AB7="Semi Private","SP"&amp;TEXT(COUNTIF($AB$2:AB7,"Semi Private"),"000"),IF(AB7="Private Room","PR"&amp;TEXT(COUNTIF($AB$2:AB7,"Private Room"),"000"),IF(AB7="ICU","ICU"&amp;TEXT(COUNTIF($AB$2:AB7,"ICU"),"000"),"N/A"))))</f>
        <v>N/A</v>
      </c>
      <c r="AD7" t="str">
        <f t="shared" ca="1" si="4"/>
        <v>Not Admitted</v>
      </c>
      <c r="AE7" s="2" t="str">
        <f t="shared" ca="1" si="2"/>
        <v>N/A</v>
      </c>
    </row>
    <row r="8" spans="1:31" x14ac:dyDescent="0.3">
      <c r="A8" t="s">
        <v>61</v>
      </c>
      <c r="B8" t="s">
        <v>62</v>
      </c>
      <c r="C8" t="s">
        <v>22</v>
      </c>
      <c r="D8">
        <v>40</v>
      </c>
      <c r="E8" t="str" cm="1">
        <f t="array" aca="1" ref="E8" ca="1">_xlfn.IFS(
H8="Cardiology",CHOOSE(RANDBETWEEN(1,6),"Hypertension","Arrhythmia","Angina","Heart Failure","Chest Pain","Coronary Artery Disease"),
H8="General Medicine",CHOOSE(RANDBETWEEN(1,6),"Viral Fever","Influenza","Diabetes","Gastritis","Typhoid","Food Poisoning"),
H8="Orthopedics",CHOOSE(RANDBETWEEN(1,6),"Fracture","Arthritis","Back Pain","Joint Pain","Knee Injury","Shoulder Dislocation"),
H8="Neurology",CHOOSE(RANDBETWEEN(1,6),"Migraine","Stroke","Epilepsy","Vertigo","Parkinson's Disease","Peripheral Neuropathy"),
H8="Pediatrics",CHOOSE(RANDBETWEEN(1,6),"Common Cold","Asthma","Pneumonia","Ear Infection","Viral Fever","Stomach Infection"),
H8="Dermatology",CHOOSE(RANDBETWEEN(1,6),"Acne","Eczema","Psoriasis","Fungal Infection","Heat Rash","Contact Dermatitis"),
H8="ENT",CHOOSE(RANDBETWEEN(1,6),"Sinusitis","Tonsillitis","Ear Infection","Throat Infection","Allergic Rhinitis","Otitis Media"),
H8="Gynecology",CHOOSE(RANDBETWEEN(1,6),"PCOS","UTI","Pregnancy Checkup","Menstrual Disorder","Ovarian Cyst","Endometriosis")
)</f>
        <v>Tonsillitis</v>
      </c>
      <c r="F8" t="str" cm="1">
        <f t="array" ref="F8">_xlfn.SWITCH(K8,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8" t="s">
        <v>63</v>
      </c>
      <c r="H8" t="s">
        <v>64</v>
      </c>
      <c r="I8" t="s">
        <v>65</v>
      </c>
      <c r="J8" s="1">
        <v>45677</v>
      </c>
      <c r="K8" t="str">
        <f t="shared" si="3"/>
        <v>January</v>
      </c>
      <c r="L8">
        <f t="shared" si="0"/>
        <v>1</v>
      </c>
      <c r="M8" t="s">
        <v>26</v>
      </c>
      <c r="N8" t="s">
        <v>27</v>
      </c>
      <c r="O8">
        <v>1000</v>
      </c>
      <c r="P8">
        <v>1200</v>
      </c>
      <c r="Q8">
        <v>900</v>
      </c>
      <c r="R8">
        <v>0</v>
      </c>
      <c r="S8" t="s">
        <v>28</v>
      </c>
      <c r="T8" t="s">
        <v>50</v>
      </c>
      <c r="U8">
        <v>3100</v>
      </c>
      <c r="V8">
        <v>0</v>
      </c>
      <c r="W8">
        <v>4.5999999999999996</v>
      </c>
      <c r="X8" t="s">
        <v>365</v>
      </c>
      <c r="Y8" t="s">
        <v>566</v>
      </c>
      <c r="Z8" s="1">
        <v>45677</v>
      </c>
      <c r="AA8" s="1">
        <f>Table1[[#This Row],[Admission_Date]]+Table1[[#This Row],[Length_of_Stay]]</f>
        <v>45677</v>
      </c>
      <c r="AB8" t="str">
        <f t="shared" ca="1" si="1"/>
        <v>N/A</v>
      </c>
      <c r="AC8" t="str">
        <f ca="1">IF(AB8="General Ward","GW"&amp;TEXT(COUNTIF($AB$2:AB8,"General Ward"),"000"),IF(AB8="Semi Private","SP"&amp;TEXT(COUNTIF($AB$2:AB8,"Semi Private"),"000"),IF(AB8="Private Room","PR"&amp;TEXT(COUNTIF($AB$2:AB8,"Private Room"),"000"),IF(AB8="ICU","ICU"&amp;TEXT(COUNTIF($AB$2:AB8,"ICU"),"000"),"N/A"))))</f>
        <v>N/A</v>
      </c>
      <c r="AD8" t="str">
        <f t="shared" ca="1" si="4"/>
        <v>Not Admitted</v>
      </c>
      <c r="AE8" s="2" t="str">
        <f t="shared" ca="1" si="2"/>
        <v>N/A</v>
      </c>
    </row>
    <row r="9" spans="1:31" x14ac:dyDescent="0.3">
      <c r="A9" t="s">
        <v>66</v>
      </c>
      <c r="B9" t="s">
        <v>67</v>
      </c>
      <c r="C9" t="s">
        <v>32</v>
      </c>
      <c r="D9">
        <v>67</v>
      </c>
      <c r="E9" t="str" cm="1">
        <f t="array" aca="1" ref="E9" ca="1">_xlfn.IFS(
H9="Cardiology",CHOOSE(RANDBETWEEN(1,6),"Hypertension","Arrhythmia","Angina","Heart Failure","Chest Pain","Coronary Artery Disease"),
H9="General Medicine",CHOOSE(RANDBETWEEN(1,6),"Viral Fever","Influenza","Diabetes","Gastritis","Typhoid","Food Poisoning"),
H9="Orthopedics",CHOOSE(RANDBETWEEN(1,6),"Fracture","Arthritis","Back Pain","Joint Pain","Knee Injury","Shoulder Dislocation"),
H9="Neurology",CHOOSE(RANDBETWEEN(1,6),"Migraine","Stroke","Epilepsy","Vertigo","Parkinson's Disease","Peripheral Neuropathy"),
H9="Pediatrics",CHOOSE(RANDBETWEEN(1,6),"Common Cold","Asthma","Pneumonia","Ear Infection","Viral Fever","Stomach Infection"),
H9="Dermatology",CHOOSE(RANDBETWEEN(1,6),"Acne","Eczema","Psoriasis","Fungal Infection","Heat Rash","Contact Dermatitis"),
H9="ENT",CHOOSE(RANDBETWEEN(1,6),"Sinusitis","Tonsillitis","Ear Infection","Throat Infection","Allergic Rhinitis","Otitis Media"),
H9="Gynecology",CHOOSE(RANDBETWEEN(1,6),"PCOS","UTI","Pregnancy Checkup","Menstrual Disorder","Ovarian Cyst","Endometriosis")
)</f>
        <v>Angina</v>
      </c>
      <c r="F9" t="str" cm="1">
        <f t="array" ref="F9">_xlfn.SWITCH(K9,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9" t="s">
        <v>68</v>
      </c>
      <c r="H9" t="s">
        <v>24</v>
      </c>
      <c r="I9" t="s">
        <v>69</v>
      </c>
      <c r="J9" s="1">
        <v>45679</v>
      </c>
      <c r="K9" t="str">
        <f t="shared" si="3"/>
        <v>January</v>
      </c>
      <c r="L9">
        <f t="shared" si="0"/>
        <v>1</v>
      </c>
      <c r="M9" t="s">
        <v>26</v>
      </c>
      <c r="N9" t="s">
        <v>36</v>
      </c>
      <c r="O9">
        <v>2000</v>
      </c>
      <c r="P9">
        <v>8500</v>
      </c>
      <c r="Q9">
        <v>4200</v>
      </c>
      <c r="R9">
        <v>25000</v>
      </c>
      <c r="S9" t="s">
        <v>37</v>
      </c>
      <c r="T9" t="s">
        <v>15</v>
      </c>
      <c r="U9">
        <v>39700</v>
      </c>
      <c r="V9">
        <v>6</v>
      </c>
      <c r="W9">
        <v>5</v>
      </c>
      <c r="X9" t="s">
        <v>366</v>
      </c>
      <c r="Y9" t="s">
        <v>567</v>
      </c>
      <c r="Z9" s="1">
        <v>45679</v>
      </c>
      <c r="AA9" s="1">
        <f>Table1[[#This Row],[Admission_Date]]+Table1[[#This Row],[Length_of_Stay]]</f>
        <v>45685</v>
      </c>
      <c r="AB9" t="str">
        <f t="shared" ca="1" si="1"/>
        <v>Semi Private</v>
      </c>
      <c r="AC9" t="str">
        <f ca="1">IF(AB9="General Ward","GW"&amp;TEXT(COUNTIF($AB$2:AB9,"General Ward"),"000"),IF(AB9="Semi Private","SP"&amp;TEXT(COUNTIF($AB$2:AB9,"Semi Private"),"000"),IF(AB9="Private Room","PR"&amp;TEXT(COUNTIF($AB$2:AB9,"Private Room"),"000"),IF(AB9="ICU","ICU"&amp;TEXT(COUNTIF($AB$2:AB9,"ICU"),"000"),"N/A"))))</f>
        <v>SP001</v>
      </c>
      <c r="AD9" t="str">
        <f t="shared" ca="1" si="4"/>
        <v>Occupied</v>
      </c>
      <c r="AE9" s="2" t="str">
        <f t="shared" ca="1" si="2"/>
        <v>Scheduled</v>
      </c>
    </row>
    <row r="10" spans="1:31" x14ac:dyDescent="0.3">
      <c r="A10" t="s">
        <v>70</v>
      </c>
      <c r="B10" t="s">
        <v>71</v>
      </c>
      <c r="C10" t="s">
        <v>22</v>
      </c>
      <c r="D10">
        <v>52</v>
      </c>
      <c r="E10" t="str" cm="1">
        <f t="array" aca="1" ref="E10" ca="1">_xlfn.IFS(
H10="Cardiology",CHOOSE(RANDBETWEEN(1,6),"Hypertension","Arrhythmia","Angina","Heart Failure","Chest Pain","Coronary Artery Disease"),
H10="General Medicine",CHOOSE(RANDBETWEEN(1,6),"Viral Fever","Influenza","Diabetes","Gastritis","Typhoid","Food Poisoning"),
H10="Orthopedics",CHOOSE(RANDBETWEEN(1,6),"Fracture","Arthritis","Back Pain","Joint Pain","Knee Injury","Shoulder Dislocation"),
H10="Neurology",CHOOSE(RANDBETWEEN(1,6),"Migraine","Stroke","Epilepsy","Vertigo","Parkinson's Disease","Peripheral Neuropathy"),
H10="Pediatrics",CHOOSE(RANDBETWEEN(1,6),"Common Cold","Asthma","Pneumonia","Ear Infection","Viral Fever","Stomach Infection"),
H10="Dermatology",CHOOSE(RANDBETWEEN(1,6),"Acne","Eczema","Psoriasis","Fungal Infection","Heat Rash","Contact Dermatitis"),
H10="ENT",CHOOSE(RANDBETWEEN(1,6),"Sinusitis","Tonsillitis","Ear Infection","Throat Infection","Allergic Rhinitis","Otitis Media"),
H10="Gynecology",CHOOSE(RANDBETWEEN(1,6),"PCOS","UTI","Pregnancy Checkup","Menstrual Disorder","Ovarian Cyst","Endometriosis")
)</f>
        <v>Viral Fever</v>
      </c>
      <c r="F10" t="str" cm="1">
        <f t="array" ref="F10">_xlfn.SWITCH(K10,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10" t="s">
        <v>72</v>
      </c>
      <c r="H10" t="s">
        <v>73</v>
      </c>
      <c r="I10" t="s">
        <v>74</v>
      </c>
      <c r="J10" s="1">
        <v>45682</v>
      </c>
      <c r="K10" t="str">
        <f t="shared" si="3"/>
        <v>January</v>
      </c>
      <c r="L10">
        <f t="shared" si="0"/>
        <v>1</v>
      </c>
      <c r="M10" t="s">
        <v>43</v>
      </c>
      <c r="N10" t="s">
        <v>27</v>
      </c>
      <c r="O10">
        <v>800</v>
      </c>
      <c r="P10">
        <v>500</v>
      </c>
      <c r="Q10">
        <v>700</v>
      </c>
      <c r="R10">
        <v>0</v>
      </c>
      <c r="S10" t="s">
        <v>28</v>
      </c>
      <c r="T10" t="s">
        <v>44</v>
      </c>
      <c r="U10">
        <v>2000</v>
      </c>
      <c r="V10">
        <v>0</v>
      </c>
      <c r="W10">
        <v>4.0999999999999996</v>
      </c>
      <c r="X10" t="s">
        <v>367</v>
      </c>
      <c r="Y10" t="s">
        <v>568</v>
      </c>
      <c r="Z10" s="1">
        <v>45682</v>
      </c>
      <c r="AA10" s="1">
        <f>Table1[[#This Row],[Admission_Date]]+Table1[[#This Row],[Length_of_Stay]]</f>
        <v>45682</v>
      </c>
      <c r="AB10" t="str">
        <f t="shared" ca="1" si="1"/>
        <v>N/A</v>
      </c>
      <c r="AC10" t="str">
        <f ca="1">IF(AB10="General Ward","GW"&amp;TEXT(COUNTIF($AB$2:AB10,"General Ward"),"000"),IF(AB10="Semi Private","SP"&amp;TEXT(COUNTIF($AB$2:AB10,"Semi Private"),"000"),IF(AB10="Private Room","PR"&amp;TEXT(COUNTIF($AB$2:AB10,"Private Room"),"000"),IF(AB10="ICU","ICU"&amp;TEXT(COUNTIF($AB$2:AB10,"ICU"),"000"),"N/A"))))</f>
        <v>N/A</v>
      </c>
      <c r="AD10" t="str">
        <f t="shared" ca="1" si="4"/>
        <v>Not Admitted</v>
      </c>
      <c r="AE10" s="2" t="str">
        <f t="shared" ca="1" si="2"/>
        <v>N/A</v>
      </c>
    </row>
    <row r="11" spans="1:31" x14ac:dyDescent="0.3">
      <c r="A11" t="s">
        <v>75</v>
      </c>
      <c r="B11" t="s">
        <v>76</v>
      </c>
      <c r="C11" t="s">
        <v>32</v>
      </c>
      <c r="D11">
        <v>24</v>
      </c>
      <c r="E11" t="str" cm="1">
        <f t="array" aca="1" ref="E11" ca="1">_xlfn.IFS(
H11="Cardiology",CHOOSE(RANDBETWEEN(1,6),"Hypertension","Arrhythmia","Angina","Heart Failure","Chest Pain","Coronary Artery Disease"),
H11="General Medicine",CHOOSE(RANDBETWEEN(1,6),"Viral Fever","Influenza","Diabetes","Gastritis","Typhoid","Food Poisoning"),
H11="Orthopedics",CHOOSE(RANDBETWEEN(1,6),"Fracture","Arthritis","Back Pain","Joint Pain","Knee Injury","Shoulder Dislocation"),
H11="Neurology",CHOOSE(RANDBETWEEN(1,6),"Migraine","Stroke","Epilepsy","Vertigo","Parkinson's Disease","Peripheral Neuropathy"),
H11="Pediatrics",CHOOSE(RANDBETWEEN(1,6),"Common Cold","Asthma","Pneumonia","Ear Infection","Viral Fever","Stomach Infection"),
H11="Dermatology",CHOOSE(RANDBETWEEN(1,6),"Acne","Eczema","Psoriasis","Fungal Infection","Heat Rash","Contact Dermatitis"),
H11="ENT",CHOOSE(RANDBETWEEN(1,6),"Sinusitis","Tonsillitis","Ear Infection","Throat Infection","Allergic Rhinitis","Otitis Media"),
H11="Gynecology",CHOOSE(RANDBETWEEN(1,6),"PCOS","UTI","Pregnancy Checkup","Menstrual Disorder","Ovarian Cyst","Endometriosis")
)</f>
        <v>Tonsillitis</v>
      </c>
      <c r="F11" t="str" cm="1">
        <f t="array" ref="F11">_xlfn.SWITCH(K11,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11" t="s">
        <v>77</v>
      </c>
      <c r="H11" t="s">
        <v>64</v>
      </c>
      <c r="I11" t="s">
        <v>78</v>
      </c>
      <c r="J11" s="1">
        <v>45685</v>
      </c>
      <c r="K11" t="str">
        <f t="shared" si="3"/>
        <v>January</v>
      </c>
      <c r="L11">
        <f t="shared" si="0"/>
        <v>1</v>
      </c>
      <c r="M11" t="s">
        <v>26</v>
      </c>
      <c r="N11" t="s">
        <v>27</v>
      </c>
      <c r="O11">
        <v>900</v>
      </c>
      <c r="P11">
        <v>1000</v>
      </c>
      <c r="Q11">
        <v>600</v>
      </c>
      <c r="R11">
        <v>0</v>
      </c>
      <c r="S11" t="s">
        <v>28</v>
      </c>
      <c r="T11" t="s">
        <v>29</v>
      </c>
      <c r="U11">
        <v>2500</v>
      </c>
      <c r="V11">
        <v>0</v>
      </c>
      <c r="W11">
        <v>4.5</v>
      </c>
      <c r="X11" t="s">
        <v>368</v>
      </c>
      <c r="Y11" t="s">
        <v>569</v>
      </c>
      <c r="Z11" s="1">
        <v>45685</v>
      </c>
      <c r="AA11" s="1">
        <f>Table1[[#This Row],[Admission_Date]]+Table1[[#This Row],[Length_of_Stay]]</f>
        <v>45685</v>
      </c>
      <c r="AB11" t="str">
        <f t="shared" ca="1" si="1"/>
        <v>N/A</v>
      </c>
      <c r="AC11" t="str">
        <f ca="1">IF(AB11="General Ward","GW"&amp;TEXT(COUNTIF($AB$2:AB11,"General Ward"),"000"),IF(AB11="Semi Private","SP"&amp;TEXT(COUNTIF($AB$2:AB11,"Semi Private"),"000"),IF(AB11="Private Room","PR"&amp;TEXT(COUNTIF($AB$2:AB11,"Private Room"),"000"),IF(AB11="ICU","ICU"&amp;TEXT(COUNTIF($AB$2:AB11,"ICU"),"000"),"N/A"))))</f>
        <v>N/A</v>
      </c>
      <c r="AD11" t="str">
        <f t="shared" ca="1" si="4"/>
        <v>Not Admitted</v>
      </c>
      <c r="AE11" s="2" t="str">
        <f t="shared" ca="1" si="2"/>
        <v>N/A</v>
      </c>
    </row>
    <row r="12" spans="1:31" x14ac:dyDescent="0.3">
      <c r="A12" t="s">
        <v>79</v>
      </c>
      <c r="B12" t="s">
        <v>80</v>
      </c>
      <c r="C12" t="s">
        <v>22</v>
      </c>
      <c r="D12">
        <v>44</v>
      </c>
      <c r="E12" t="str" cm="1">
        <f t="array" aca="1" ref="E12" ca="1">_xlfn.IFS(
H12="Cardiology",CHOOSE(RANDBETWEEN(1,6),"Hypertension","Arrhythmia","Angina","Heart Failure","Chest Pain","Coronary Artery Disease"),
H12="General Medicine",CHOOSE(RANDBETWEEN(1,6),"Viral Fever","Influenza","Diabetes","Gastritis","Typhoid","Food Poisoning"),
H12="Orthopedics",CHOOSE(RANDBETWEEN(1,6),"Fracture","Arthritis","Back Pain","Joint Pain","Knee Injury","Shoulder Dislocation"),
H12="Neurology",CHOOSE(RANDBETWEEN(1,6),"Migraine","Stroke","Epilepsy","Vertigo","Parkinson's Disease","Peripheral Neuropathy"),
H12="Pediatrics",CHOOSE(RANDBETWEEN(1,6),"Common Cold","Asthma","Pneumonia","Ear Infection","Viral Fever","Stomach Infection"),
H12="Dermatology",CHOOSE(RANDBETWEEN(1,6),"Acne","Eczema","Psoriasis","Fungal Infection","Heat Rash","Contact Dermatitis"),
H12="ENT",CHOOSE(RANDBETWEEN(1,6),"Sinusitis","Tonsillitis","Ear Infection","Throat Infection","Allergic Rhinitis","Otitis Media"),
H12="Gynecology",CHOOSE(RANDBETWEEN(1,6),"PCOS","UTI","Pregnancy Checkup","Menstrual Disorder","Ovarian Cyst","Endometriosis")
)</f>
        <v>Arthritis</v>
      </c>
      <c r="F12" t="str" cm="1">
        <f t="array" ref="F12">_xlfn.SWITCH(K12,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12" t="s">
        <v>23</v>
      </c>
      <c r="H12" t="s">
        <v>41</v>
      </c>
      <c r="I12" t="s">
        <v>81</v>
      </c>
      <c r="J12" s="1">
        <v>45690</v>
      </c>
      <c r="K12" t="str">
        <f t="shared" si="3"/>
        <v>February</v>
      </c>
      <c r="L12">
        <f t="shared" si="0"/>
        <v>2</v>
      </c>
      <c r="M12" t="s">
        <v>26</v>
      </c>
      <c r="N12" t="s">
        <v>36</v>
      </c>
      <c r="O12">
        <v>1600</v>
      </c>
      <c r="P12">
        <v>4500</v>
      </c>
      <c r="Q12">
        <v>2800</v>
      </c>
      <c r="R12">
        <v>15000</v>
      </c>
      <c r="S12" t="s">
        <v>37</v>
      </c>
      <c r="T12" t="s">
        <v>15</v>
      </c>
      <c r="U12">
        <v>23900</v>
      </c>
      <c r="V12">
        <v>4</v>
      </c>
      <c r="W12">
        <v>4.8</v>
      </c>
      <c r="X12" t="s">
        <v>369</v>
      </c>
      <c r="Y12" t="s">
        <v>570</v>
      </c>
      <c r="Z12" s="1">
        <v>45690</v>
      </c>
      <c r="AA12" s="1">
        <f>Table1[[#This Row],[Admission_Date]]+Table1[[#This Row],[Length_of_Stay]]</f>
        <v>45694</v>
      </c>
      <c r="AB12" t="str">
        <f t="shared" ca="1" si="1"/>
        <v>Private Room</v>
      </c>
      <c r="AC12" t="str">
        <f ca="1">IF(AB12="General Ward","GW"&amp;TEXT(COUNTIF($AB$2:AB12,"General Ward"),"000"),IF(AB12="Semi Private","SP"&amp;TEXT(COUNTIF($AB$2:AB12,"Semi Private"),"000"),IF(AB12="Private Room","PR"&amp;TEXT(COUNTIF($AB$2:AB12,"Private Room"),"000"),IF(AB12="ICU","ICU"&amp;TEXT(COUNTIF($AB$2:AB12,"ICU"),"000"),"N/A"))))</f>
        <v>PR002</v>
      </c>
      <c r="AD12" t="str">
        <f t="shared" ca="1" si="4"/>
        <v>Occupied</v>
      </c>
      <c r="AE12" s="2" t="str">
        <f t="shared" ca="1" si="2"/>
        <v>Walk-in</v>
      </c>
    </row>
    <row r="13" spans="1:31" x14ac:dyDescent="0.3">
      <c r="A13" t="s">
        <v>82</v>
      </c>
      <c r="B13" t="s">
        <v>83</v>
      </c>
      <c r="C13" t="s">
        <v>32</v>
      </c>
      <c r="D13">
        <v>30</v>
      </c>
      <c r="E13" t="str" cm="1">
        <f t="array" aca="1" ref="E13" ca="1">_xlfn.IFS(
H13="Cardiology",CHOOSE(RANDBETWEEN(1,6),"Hypertension","Arrhythmia","Angina","Heart Failure","Chest Pain","Coronary Artery Disease"),
H13="General Medicine",CHOOSE(RANDBETWEEN(1,6),"Viral Fever","Influenza","Diabetes","Gastritis","Typhoid","Food Poisoning"),
H13="Orthopedics",CHOOSE(RANDBETWEEN(1,6),"Fracture","Arthritis","Back Pain","Joint Pain","Knee Injury","Shoulder Dislocation"),
H13="Neurology",CHOOSE(RANDBETWEEN(1,6),"Migraine","Stroke","Epilepsy","Vertigo","Parkinson's Disease","Peripheral Neuropathy"),
H13="Pediatrics",CHOOSE(RANDBETWEEN(1,6),"Common Cold","Asthma","Pneumonia","Ear Infection","Viral Fever","Stomach Infection"),
H13="Dermatology",CHOOSE(RANDBETWEEN(1,6),"Acne","Eczema","Psoriasis","Fungal Infection","Heat Rash","Contact Dermatitis"),
H13="ENT",CHOOSE(RANDBETWEEN(1,6),"Sinusitis","Tonsillitis","Ear Infection","Throat Infection","Allergic Rhinitis","Otitis Media"),
H13="Gynecology",CHOOSE(RANDBETWEEN(1,6),"PCOS","UTI","Pregnancy Checkup","Menstrual Disorder","Ovarian Cyst","Endometriosis")
)</f>
        <v>Contact Dermatitis</v>
      </c>
      <c r="F13" t="str" cm="1">
        <f t="array" ref="F13">_xlfn.SWITCH(K13,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13" t="s">
        <v>33</v>
      </c>
      <c r="H13" t="s">
        <v>58</v>
      </c>
      <c r="I13" t="s">
        <v>84</v>
      </c>
      <c r="J13" s="1">
        <v>45693</v>
      </c>
      <c r="K13" t="str">
        <f t="shared" si="3"/>
        <v>February</v>
      </c>
      <c r="L13">
        <f t="shared" si="0"/>
        <v>2</v>
      </c>
      <c r="M13" t="s">
        <v>26</v>
      </c>
      <c r="N13" t="s">
        <v>27</v>
      </c>
      <c r="O13">
        <v>800</v>
      </c>
      <c r="P13">
        <v>700</v>
      </c>
      <c r="Q13">
        <v>500</v>
      </c>
      <c r="R13">
        <v>0</v>
      </c>
      <c r="S13" t="s">
        <v>28</v>
      </c>
      <c r="T13" t="s">
        <v>50</v>
      </c>
      <c r="U13">
        <v>2000</v>
      </c>
      <c r="V13">
        <v>0</v>
      </c>
      <c r="W13">
        <v>4.4000000000000004</v>
      </c>
      <c r="X13" t="s">
        <v>370</v>
      </c>
      <c r="Y13" t="s">
        <v>571</v>
      </c>
      <c r="Z13" s="1">
        <v>45693</v>
      </c>
      <c r="AA13" s="1">
        <f>Table1[[#This Row],[Admission_Date]]+Table1[[#This Row],[Length_of_Stay]]</f>
        <v>45693</v>
      </c>
      <c r="AB13" t="str">
        <f t="shared" ca="1" si="1"/>
        <v>N/A</v>
      </c>
      <c r="AC13" t="str">
        <f ca="1">IF(AB13="General Ward","GW"&amp;TEXT(COUNTIF($AB$2:AB13,"General Ward"),"000"),IF(AB13="Semi Private","SP"&amp;TEXT(COUNTIF($AB$2:AB13,"Semi Private"),"000"),IF(AB13="Private Room","PR"&amp;TEXT(COUNTIF($AB$2:AB13,"Private Room"),"000"),IF(AB13="ICU","ICU"&amp;TEXT(COUNTIF($AB$2:AB13,"ICU"),"000"),"N/A"))))</f>
        <v>N/A</v>
      </c>
      <c r="AD13" t="str">
        <f t="shared" ca="1" si="4"/>
        <v>Not Admitted</v>
      </c>
      <c r="AE13" s="2" t="str">
        <f t="shared" ca="1" si="2"/>
        <v>N/A</v>
      </c>
    </row>
    <row r="14" spans="1:31" x14ac:dyDescent="0.3">
      <c r="A14" t="s">
        <v>85</v>
      </c>
      <c r="B14" t="s">
        <v>86</v>
      </c>
      <c r="C14" t="s">
        <v>22</v>
      </c>
      <c r="D14">
        <v>61</v>
      </c>
      <c r="E14" t="str" cm="1">
        <f t="array" aca="1" ref="E14" ca="1">_xlfn.IFS(
H14="Cardiology",CHOOSE(RANDBETWEEN(1,6),"Hypertension","Arrhythmia","Angina","Heart Failure","Chest Pain","Coronary Artery Disease"),
H14="General Medicine",CHOOSE(RANDBETWEEN(1,6),"Viral Fever","Influenza","Diabetes","Gastritis","Typhoid","Food Poisoning"),
H14="Orthopedics",CHOOSE(RANDBETWEEN(1,6),"Fracture","Arthritis","Back Pain","Joint Pain","Knee Injury","Shoulder Dislocation"),
H14="Neurology",CHOOSE(RANDBETWEEN(1,6),"Migraine","Stroke","Epilepsy","Vertigo","Parkinson's Disease","Peripheral Neuropathy"),
H14="Pediatrics",CHOOSE(RANDBETWEEN(1,6),"Common Cold","Asthma","Pneumonia","Ear Infection","Viral Fever","Stomach Infection"),
H14="Dermatology",CHOOSE(RANDBETWEEN(1,6),"Acne","Eczema","Psoriasis","Fungal Infection","Heat Rash","Contact Dermatitis"),
H14="ENT",CHOOSE(RANDBETWEEN(1,6),"Sinusitis","Tonsillitis","Ear Infection","Throat Infection","Allergic Rhinitis","Otitis Media"),
H14="Gynecology",CHOOSE(RANDBETWEEN(1,6),"PCOS","UTI","Pregnancy Checkup","Menstrual Disorder","Ovarian Cyst","Endometriosis")
)</f>
        <v>Peripheral Neuropathy</v>
      </c>
      <c r="F14" t="str" cm="1">
        <f t="array" ref="F14">_xlfn.SWITCH(K14,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14" t="s">
        <v>40</v>
      </c>
      <c r="H14" t="s">
        <v>54</v>
      </c>
      <c r="I14" t="s">
        <v>87</v>
      </c>
      <c r="J14" s="1">
        <v>45696</v>
      </c>
      <c r="K14" t="str">
        <f t="shared" si="3"/>
        <v>February</v>
      </c>
      <c r="L14">
        <f t="shared" si="0"/>
        <v>2</v>
      </c>
      <c r="M14" t="s">
        <v>26</v>
      </c>
      <c r="N14" t="s">
        <v>36</v>
      </c>
      <c r="O14">
        <v>1800</v>
      </c>
      <c r="P14">
        <v>7500</v>
      </c>
      <c r="Q14">
        <v>3000</v>
      </c>
      <c r="R14">
        <v>22000</v>
      </c>
      <c r="S14" t="s">
        <v>37</v>
      </c>
      <c r="T14" t="s">
        <v>15</v>
      </c>
      <c r="U14">
        <v>34300</v>
      </c>
      <c r="V14">
        <v>7</v>
      </c>
      <c r="W14">
        <v>4.9000000000000004</v>
      </c>
      <c r="X14" t="s">
        <v>371</v>
      </c>
      <c r="Y14" t="s">
        <v>572</v>
      </c>
      <c r="Z14" s="1">
        <v>45696</v>
      </c>
      <c r="AA14" s="1">
        <f>Table1[[#This Row],[Admission_Date]]+Table1[[#This Row],[Length_of_Stay]]</f>
        <v>45703</v>
      </c>
      <c r="AB14" t="str">
        <f t="shared" ca="1" si="1"/>
        <v>Private Room</v>
      </c>
      <c r="AC14" t="str">
        <f ca="1">IF(AB14="General Ward","GW"&amp;TEXT(COUNTIF($AB$2:AB14,"General Ward"),"000"),IF(AB14="Semi Private","SP"&amp;TEXT(COUNTIF($AB$2:AB14,"Semi Private"),"000"),IF(AB14="Private Room","PR"&amp;TEXT(COUNTIF($AB$2:AB14,"Private Room"),"000"),IF(AB14="ICU","ICU"&amp;TEXT(COUNTIF($AB$2:AB14,"ICU"),"000"),"N/A"))))</f>
        <v>PR003</v>
      </c>
      <c r="AD14" t="str">
        <f t="shared" ca="1" si="4"/>
        <v>Occupied</v>
      </c>
      <c r="AE14" s="2" t="str">
        <f t="shared" ca="1" si="2"/>
        <v>Walk-in</v>
      </c>
    </row>
    <row r="15" spans="1:31" x14ac:dyDescent="0.3">
      <c r="A15" t="s">
        <v>88</v>
      </c>
      <c r="B15" t="s">
        <v>89</v>
      </c>
      <c r="C15" t="s">
        <v>32</v>
      </c>
      <c r="D15">
        <v>37</v>
      </c>
      <c r="E15" t="str" cm="1">
        <f t="array" aca="1" ref="E15" ca="1">_xlfn.IFS(
H15="Cardiology",CHOOSE(RANDBETWEEN(1,6),"Hypertension","Arrhythmia","Angina","Heart Failure","Chest Pain","Coronary Artery Disease"),
H15="General Medicine",CHOOSE(RANDBETWEEN(1,6),"Viral Fever","Influenza","Diabetes","Gastritis","Typhoid","Food Poisoning"),
H15="Orthopedics",CHOOSE(RANDBETWEEN(1,6),"Fracture","Arthritis","Back Pain","Joint Pain","Knee Injury","Shoulder Dislocation"),
H15="Neurology",CHOOSE(RANDBETWEEN(1,6),"Migraine","Stroke","Epilepsy","Vertigo","Parkinson's Disease","Peripheral Neuropathy"),
H15="Pediatrics",CHOOSE(RANDBETWEEN(1,6),"Common Cold","Asthma","Pneumonia","Ear Infection","Viral Fever","Stomach Infection"),
H15="Dermatology",CHOOSE(RANDBETWEEN(1,6),"Acne","Eczema","Psoriasis","Fungal Infection","Heat Rash","Contact Dermatitis"),
H15="ENT",CHOOSE(RANDBETWEEN(1,6),"Sinusitis","Tonsillitis","Ear Infection","Throat Infection","Allergic Rhinitis","Otitis Media"),
H15="Gynecology",CHOOSE(RANDBETWEEN(1,6),"PCOS","UTI","Pregnancy Checkup","Menstrual Disorder","Ovarian Cyst","Endometriosis")
)</f>
        <v>Influenza</v>
      </c>
      <c r="F15" t="str" cm="1">
        <f t="array" ref="F15">_xlfn.SWITCH(K15,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15" t="s">
        <v>47</v>
      </c>
      <c r="H15" t="s">
        <v>73</v>
      </c>
      <c r="I15" t="s">
        <v>90</v>
      </c>
      <c r="J15" s="1">
        <v>45698</v>
      </c>
      <c r="K15" t="str">
        <f t="shared" si="3"/>
        <v>February</v>
      </c>
      <c r="L15">
        <f t="shared" si="0"/>
        <v>2</v>
      </c>
      <c r="M15" t="s">
        <v>43</v>
      </c>
      <c r="N15" t="s">
        <v>27</v>
      </c>
      <c r="O15">
        <v>700</v>
      </c>
      <c r="P15">
        <v>1200</v>
      </c>
      <c r="Q15">
        <v>800</v>
      </c>
      <c r="R15">
        <v>0</v>
      </c>
      <c r="S15" t="s">
        <v>28</v>
      </c>
      <c r="T15" t="s">
        <v>44</v>
      </c>
      <c r="U15">
        <v>2700</v>
      </c>
      <c r="V15">
        <v>0</v>
      </c>
      <c r="W15">
        <v>4</v>
      </c>
      <c r="X15" t="s">
        <v>372</v>
      </c>
      <c r="Y15" t="s">
        <v>573</v>
      </c>
      <c r="Z15" s="1">
        <v>45698</v>
      </c>
      <c r="AA15" s="1">
        <f>Table1[[#This Row],[Admission_Date]]+Table1[[#This Row],[Length_of_Stay]]</f>
        <v>45698</v>
      </c>
      <c r="AB15" t="str">
        <f t="shared" ca="1" si="1"/>
        <v>N/A</v>
      </c>
      <c r="AC15" t="str">
        <f ca="1">IF(AB15="General Ward","GW"&amp;TEXT(COUNTIF($AB$2:AB15,"General Ward"),"000"),IF(AB15="Semi Private","SP"&amp;TEXT(COUNTIF($AB$2:AB15,"Semi Private"),"000"),IF(AB15="Private Room","PR"&amp;TEXT(COUNTIF($AB$2:AB15,"Private Room"),"000"),IF(AB15="ICU","ICU"&amp;TEXT(COUNTIF($AB$2:AB15,"ICU"),"000"),"N/A"))))</f>
        <v>N/A</v>
      </c>
      <c r="AD15" t="str">
        <f t="shared" ca="1" si="4"/>
        <v>Not Admitted</v>
      </c>
      <c r="AE15" s="2" t="str">
        <f t="shared" ca="1" si="2"/>
        <v>N/A</v>
      </c>
    </row>
    <row r="16" spans="1:31" x14ac:dyDescent="0.3">
      <c r="A16" t="s">
        <v>91</v>
      </c>
      <c r="B16" t="s">
        <v>92</v>
      </c>
      <c r="C16" t="s">
        <v>22</v>
      </c>
      <c r="D16">
        <v>49</v>
      </c>
      <c r="E16" t="str" cm="1">
        <f t="array" aca="1" ref="E16" ca="1">_xlfn.IFS(
H16="Cardiology",CHOOSE(RANDBETWEEN(1,6),"Hypertension","Arrhythmia","Angina","Heart Failure","Chest Pain","Coronary Artery Disease"),
H16="General Medicine",CHOOSE(RANDBETWEEN(1,6),"Viral Fever","Influenza","Diabetes","Gastritis","Typhoid","Food Poisoning"),
H16="Orthopedics",CHOOSE(RANDBETWEEN(1,6),"Fracture","Arthritis","Back Pain","Joint Pain","Knee Injury","Shoulder Dislocation"),
H16="Neurology",CHOOSE(RANDBETWEEN(1,6),"Migraine","Stroke","Epilepsy","Vertigo","Parkinson's Disease","Peripheral Neuropathy"),
H16="Pediatrics",CHOOSE(RANDBETWEEN(1,6),"Common Cold","Asthma","Pneumonia","Ear Infection","Viral Fever","Stomach Infection"),
H16="Dermatology",CHOOSE(RANDBETWEEN(1,6),"Acne","Eczema","Psoriasis","Fungal Infection","Heat Rash","Contact Dermatitis"),
H16="ENT",CHOOSE(RANDBETWEEN(1,6),"Sinusitis","Tonsillitis","Ear Infection","Throat Infection","Allergic Rhinitis","Otitis Media"),
H16="Gynecology",CHOOSE(RANDBETWEEN(1,6),"PCOS","UTI","Pregnancy Checkup","Menstrual Disorder","Ovarian Cyst","Endometriosis")
)</f>
        <v>Heart Failure</v>
      </c>
      <c r="F16" t="str" cm="1">
        <f t="array" ref="F16">_xlfn.SWITCH(K16,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16" t="s">
        <v>53</v>
      </c>
      <c r="H16" t="s">
        <v>24</v>
      </c>
      <c r="I16" t="s">
        <v>93</v>
      </c>
      <c r="J16" s="1">
        <v>45700</v>
      </c>
      <c r="K16" t="str">
        <f t="shared" si="3"/>
        <v>February</v>
      </c>
      <c r="L16">
        <f t="shared" si="0"/>
        <v>2</v>
      </c>
      <c r="M16" t="s">
        <v>26</v>
      </c>
      <c r="N16" t="s">
        <v>27</v>
      </c>
      <c r="O16">
        <v>1500</v>
      </c>
      <c r="P16">
        <v>2500</v>
      </c>
      <c r="Q16">
        <v>1000</v>
      </c>
      <c r="R16">
        <v>0</v>
      </c>
      <c r="S16" t="s">
        <v>28</v>
      </c>
      <c r="T16" t="s">
        <v>29</v>
      </c>
      <c r="U16">
        <v>5000</v>
      </c>
      <c r="V16">
        <v>0</v>
      </c>
      <c r="W16">
        <v>4.7</v>
      </c>
      <c r="X16" t="s">
        <v>373</v>
      </c>
      <c r="Y16" t="s">
        <v>574</v>
      </c>
      <c r="Z16" s="1">
        <v>45700</v>
      </c>
      <c r="AA16" s="1">
        <f>Table1[[#This Row],[Admission_Date]]+Table1[[#This Row],[Length_of_Stay]]</f>
        <v>45700</v>
      </c>
      <c r="AB16" t="str">
        <f t="shared" ca="1" si="1"/>
        <v>N/A</v>
      </c>
      <c r="AC16" t="str">
        <f ca="1">IF(AB16="General Ward","GW"&amp;TEXT(COUNTIF($AB$2:AB16,"General Ward"),"000"),IF(AB16="Semi Private","SP"&amp;TEXT(COUNTIF($AB$2:AB16,"Semi Private"),"000"),IF(AB16="Private Room","PR"&amp;TEXT(COUNTIF($AB$2:AB16,"Private Room"),"000"),IF(AB16="ICU","ICU"&amp;TEXT(COUNTIF($AB$2:AB16,"ICU"),"000"),"N/A"))))</f>
        <v>N/A</v>
      </c>
      <c r="AD16" t="str">
        <f t="shared" ca="1" si="4"/>
        <v>Not Admitted</v>
      </c>
      <c r="AE16" s="2" t="str">
        <f t="shared" ca="1" si="2"/>
        <v>N/A</v>
      </c>
    </row>
    <row r="17" spans="1:31" x14ac:dyDescent="0.3">
      <c r="A17" t="s">
        <v>94</v>
      </c>
      <c r="B17" t="s">
        <v>95</v>
      </c>
      <c r="C17" t="s">
        <v>32</v>
      </c>
      <c r="D17">
        <v>27</v>
      </c>
      <c r="E17" t="str" cm="1">
        <f t="array" aca="1" ref="E17" ca="1">_xlfn.IFS(
H17="Cardiology",CHOOSE(RANDBETWEEN(1,6),"Hypertension","Arrhythmia","Angina","Heart Failure","Chest Pain","Coronary Artery Disease"),
H17="General Medicine",CHOOSE(RANDBETWEEN(1,6),"Viral Fever","Influenza","Diabetes","Gastritis","Typhoid","Food Poisoning"),
H17="Orthopedics",CHOOSE(RANDBETWEEN(1,6),"Fracture","Arthritis","Back Pain","Joint Pain","Knee Injury","Shoulder Dislocation"),
H17="Neurology",CHOOSE(RANDBETWEEN(1,6),"Migraine","Stroke","Epilepsy","Vertigo","Parkinson's Disease","Peripheral Neuropathy"),
H17="Pediatrics",CHOOSE(RANDBETWEEN(1,6),"Common Cold","Asthma","Pneumonia","Ear Infection","Viral Fever","Stomach Infection"),
H17="Dermatology",CHOOSE(RANDBETWEEN(1,6),"Acne","Eczema","Psoriasis","Fungal Infection","Heat Rash","Contact Dermatitis"),
H17="ENT",CHOOSE(RANDBETWEEN(1,6),"Sinusitis","Tonsillitis","Ear Infection","Throat Infection","Allergic Rhinitis","Otitis Media"),
H17="Gynecology",CHOOSE(RANDBETWEEN(1,6),"PCOS","UTI","Pregnancy Checkup","Menstrual Disorder","Ovarian Cyst","Endometriosis")
)</f>
        <v>Menstrual Disorder</v>
      </c>
      <c r="F17" t="str" cm="1">
        <f t="array" ref="F17">_xlfn.SWITCH(K17,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17" t="s">
        <v>23</v>
      </c>
      <c r="H17" t="s">
        <v>34</v>
      </c>
      <c r="I17" t="s">
        <v>96</v>
      </c>
      <c r="J17" s="1">
        <v>45703</v>
      </c>
      <c r="K17" t="str">
        <f t="shared" si="3"/>
        <v>February</v>
      </c>
      <c r="L17">
        <f t="shared" si="0"/>
        <v>2</v>
      </c>
      <c r="M17" t="s">
        <v>26</v>
      </c>
      <c r="N17" t="s">
        <v>27</v>
      </c>
      <c r="O17">
        <v>1200</v>
      </c>
      <c r="P17">
        <v>1000</v>
      </c>
      <c r="Q17">
        <v>700</v>
      </c>
      <c r="R17">
        <v>0</v>
      </c>
      <c r="S17" t="s">
        <v>28</v>
      </c>
      <c r="T17" t="s">
        <v>50</v>
      </c>
      <c r="U17">
        <v>2900</v>
      </c>
      <c r="V17">
        <v>0</v>
      </c>
      <c r="W17">
        <v>4.5999999999999996</v>
      </c>
      <c r="X17" t="s">
        <v>374</v>
      </c>
      <c r="Y17" t="s">
        <v>575</v>
      </c>
      <c r="Z17" s="1">
        <v>45703</v>
      </c>
      <c r="AA17" s="1">
        <f>Table1[[#This Row],[Admission_Date]]+Table1[[#This Row],[Length_of_Stay]]</f>
        <v>45703</v>
      </c>
      <c r="AB17" t="str">
        <f t="shared" ca="1" si="1"/>
        <v>N/A</v>
      </c>
      <c r="AC17" t="str">
        <f ca="1">IF(AB17="General Ward","GW"&amp;TEXT(COUNTIF($AB$2:AB17,"General Ward"),"000"),IF(AB17="Semi Private","SP"&amp;TEXT(COUNTIF($AB$2:AB17,"Semi Private"),"000"),IF(AB17="Private Room","PR"&amp;TEXT(COUNTIF($AB$2:AB17,"Private Room"),"000"),IF(AB17="ICU","ICU"&amp;TEXT(COUNTIF($AB$2:AB17,"ICU"),"000"),"N/A"))))</f>
        <v>N/A</v>
      </c>
      <c r="AD17" t="str">
        <f t="shared" ca="1" si="4"/>
        <v>Not Admitted</v>
      </c>
      <c r="AE17" s="2" t="str">
        <f t="shared" ca="1" si="2"/>
        <v>N/A</v>
      </c>
    </row>
    <row r="18" spans="1:31" x14ac:dyDescent="0.3">
      <c r="A18" t="s">
        <v>97</v>
      </c>
      <c r="B18" t="s">
        <v>98</v>
      </c>
      <c r="C18" t="s">
        <v>22</v>
      </c>
      <c r="D18">
        <v>33</v>
      </c>
      <c r="E18" t="str" cm="1">
        <f t="array" aca="1" ref="E18" ca="1">_xlfn.IFS(
H18="Cardiology",CHOOSE(RANDBETWEEN(1,6),"Hypertension","Arrhythmia","Angina","Heart Failure","Chest Pain","Coronary Artery Disease"),
H18="General Medicine",CHOOSE(RANDBETWEEN(1,6),"Viral Fever","Influenza","Diabetes","Gastritis","Typhoid","Food Poisoning"),
H18="Orthopedics",CHOOSE(RANDBETWEEN(1,6),"Fracture","Arthritis","Back Pain","Joint Pain","Knee Injury","Shoulder Dislocation"),
H18="Neurology",CHOOSE(RANDBETWEEN(1,6),"Migraine","Stroke","Epilepsy","Vertigo","Parkinson's Disease","Peripheral Neuropathy"),
H18="Pediatrics",CHOOSE(RANDBETWEEN(1,6),"Common Cold","Asthma","Pneumonia","Ear Infection","Viral Fever","Stomach Infection"),
H18="Dermatology",CHOOSE(RANDBETWEEN(1,6),"Acne","Eczema","Psoriasis","Fungal Infection","Heat Rash","Contact Dermatitis"),
H18="ENT",CHOOSE(RANDBETWEEN(1,6),"Sinusitis","Tonsillitis","Ear Infection","Throat Infection","Allergic Rhinitis","Otitis Media"),
H18="Gynecology",CHOOSE(RANDBETWEEN(1,6),"PCOS","UTI","Pregnancy Checkup","Menstrual Disorder","Ovarian Cyst","Endometriosis")
)</f>
        <v>Ear Infection</v>
      </c>
      <c r="F18" t="str" cm="1">
        <f t="array" ref="F18">_xlfn.SWITCH(K18,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18" t="s">
        <v>63</v>
      </c>
      <c r="H18" t="s">
        <v>64</v>
      </c>
      <c r="I18" t="s">
        <v>99</v>
      </c>
      <c r="J18" s="1">
        <v>45706</v>
      </c>
      <c r="K18" t="str">
        <f t="shared" si="3"/>
        <v>February</v>
      </c>
      <c r="L18">
        <f t="shared" si="0"/>
        <v>2</v>
      </c>
      <c r="M18" t="s">
        <v>60</v>
      </c>
      <c r="N18" t="s">
        <v>27</v>
      </c>
      <c r="O18">
        <v>900</v>
      </c>
      <c r="P18">
        <v>0</v>
      </c>
      <c r="Q18">
        <v>500</v>
      </c>
      <c r="R18">
        <v>0</v>
      </c>
      <c r="S18" t="s">
        <v>28</v>
      </c>
      <c r="T18" t="s">
        <v>44</v>
      </c>
      <c r="U18">
        <v>1400</v>
      </c>
      <c r="V18">
        <v>0</v>
      </c>
      <c r="W18">
        <v>3.9</v>
      </c>
      <c r="X18" t="s">
        <v>375</v>
      </c>
      <c r="Y18" t="s">
        <v>576</v>
      </c>
      <c r="Z18" s="1">
        <v>45706</v>
      </c>
      <c r="AA18" s="1">
        <f>Table1[[#This Row],[Admission_Date]]+Table1[[#This Row],[Length_of_Stay]]</f>
        <v>45706</v>
      </c>
      <c r="AB18" t="str">
        <f t="shared" ca="1" si="1"/>
        <v>N/A</v>
      </c>
      <c r="AC18" t="str">
        <f ca="1">IF(AB18="General Ward","GW"&amp;TEXT(COUNTIF($AB$2:AB18,"General Ward"),"000"),IF(AB18="Semi Private","SP"&amp;TEXT(COUNTIF($AB$2:AB18,"Semi Private"),"000"),IF(AB18="Private Room","PR"&amp;TEXT(COUNTIF($AB$2:AB18,"Private Room"),"000"),IF(AB18="ICU","ICU"&amp;TEXT(COUNTIF($AB$2:AB18,"ICU"),"000"),"N/A"))))</f>
        <v>N/A</v>
      </c>
      <c r="AD18" t="str">
        <f t="shared" ca="1" si="4"/>
        <v>Not Admitted</v>
      </c>
      <c r="AE18" s="2" t="str">
        <f t="shared" ca="1" si="2"/>
        <v>N/A</v>
      </c>
    </row>
    <row r="19" spans="1:31" x14ac:dyDescent="0.3">
      <c r="A19" t="s">
        <v>100</v>
      </c>
      <c r="B19" t="s">
        <v>101</v>
      </c>
      <c r="C19" t="s">
        <v>32</v>
      </c>
      <c r="D19">
        <v>55</v>
      </c>
      <c r="E19" t="str" cm="1">
        <f t="array" aca="1" ref="E19" ca="1">_xlfn.IFS(
H19="Cardiology",CHOOSE(RANDBETWEEN(1,6),"Hypertension","Arrhythmia","Angina","Heart Failure","Chest Pain","Coronary Artery Disease"),
H19="General Medicine",CHOOSE(RANDBETWEEN(1,6),"Viral Fever","Influenza","Diabetes","Gastritis","Typhoid","Food Poisoning"),
H19="Orthopedics",CHOOSE(RANDBETWEEN(1,6),"Fracture","Arthritis","Back Pain","Joint Pain","Knee Injury","Shoulder Dislocation"),
H19="Neurology",CHOOSE(RANDBETWEEN(1,6),"Migraine","Stroke","Epilepsy","Vertigo","Parkinson's Disease","Peripheral Neuropathy"),
H19="Pediatrics",CHOOSE(RANDBETWEEN(1,6),"Common Cold","Asthma","Pneumonia","Ear Infection","Viral Fever","Stomach Infection"),
H19="Dermatology",CHOOSE(RANDBETWEEN(1,6),"Acne","Eczema","Psoriasis","Fungal Infection","Heat Rash","Contact Dermatitis"),
H19="ENT",CHOOSE(RANDBETWEEN(1,6),"Sinusitis","Tonsillitis","Ear Infection","Throat Infection","Allergic Rhinitis","Otitis Media"),
H19="Gynecology",CHOOSE(RANDBETWEEN(1,6),"PCOS","UTI","Pregnancy Checkup","Menstrual Disorder","Ovarian Cyst","Endometriosis")
)</f>
        <v>Knee Injury</v>
      </c>
      <c r="F19" t="str" cm="1">
        <f t="array" ref="F19">_xlfn.SWITCH(K19,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19" t="s">
        <v>68</v>
      </c>
      <c r="H19" t="s">
        <v>41</v>
      </c>
      <c r="I19" t="s">
        <v>102</v>
      </c>
      <c r="J19" s="1">
        <v>45709</v>
      </c>
      <c r="K19" t="str">
        <f t="shared" si="3"/>
        <v>February</v>
      </c>
      <c r="L19">
        <f t="shared" si="0"/>
        <v>2</v>
      </c>
      <c r="M19" t="s">
        <v>26</v>
      </c>
      <c r="N19" t="s">
        <v>36</v>
      </c>
      <c r="O19">
        <v>1700</v>
      </c>
      <c r="P19">
        <v>5500</v>
      </c>
      <c r="Q19">
        <v>3200</v>
      </c>
      <c r="R19">
        <v>17000</v>
      </c>
      <c r="S19" t="s">
        <v>37</v>
      </c>
      <c r="T19" t="s">
        <v>15</v>
      </c>
      <c r="U19">
        <v>27400</v>
      </c>
      <c r="V19">
        <v>5</v>
      </c>
      <c r="W19">
        <v>4.8</v>
      </c>
      <c r="X19" t="s">
        <v>376</v>
      </c>
      <c r="Y19" t="s">
        <v>577</v>
      </c>
      <c r="Z19" s="1">
        <v>45709</v>
      </c>
      <c r="AA19" s="1">
        <f>Table1[[#This Row],[Admission_Date]]+Table1[[#This Row],[Length_of_Stay]]</f>
        <v>45714</v>
      </c>
      <c r="AB19" t="str">
        <f t="shared" ca="1" si="1"/>
        <v>Semi Private</v>
      </c>
      <c r="AC19" t="str">
        <f ca="1">IF(AB19="General Ward","GW"&amp;TEXT(COUNTIF($AB$2:AB19,"General Ward"),"000"),IF(AB19="Semi Private","SP"&amp;TEXT(COUNTIF($AB$2:AB19,"Semi Private"),"000"),IF(AB19="Private Room","PR"&amp;TEXT(COUNTIF($AB$2:AB19,"Private Room"),"000"),IF(AB19="ICU","ICU"&amp;TEXT(COUNTIF($AB$2:AB19,"ICU"),"000"),"N/A"))))</f>
        <v>SP002</v>
      </c>
      <c r="AD19" t="str">
        <f t="shared" ca="1" si="4"/>
        <v>Available</v>
      </c>
      <c r="AE19" s="2" t="str">
        <f t="shared" ca="1" si="2"/>
        <v>Scheduled</v>
      </c>
    </row>
    <row r="20" spans="1:31" x14ac:dyDescent="0.3">
      <c r="A20" t="s">
        <v>103</v>
      </c>
      <c r="B20" t="s">
        <v>104</v>
      </c>
      <c r="C20" t="s">
        <v>22</v>
      </c>
      <c r="D20">
        <v>41</v>
      </c>
      <c r="E20" t="str" cm="1">
        <f t="array" aca="1" ref="E20" ca="1">_xlfn.IFS(
H20="Cardiology",CHOOSE(RANDBETWEEN(1,6),"Hypertension","Arrhythmia","Angina","Heart Failure","Chest Pain","Coronary Artery Disease"),
H20="General Medicine",CHOOSE(RANDBETWEEN(1,6),"Viral Fever","Influenza","Diabetes","Gastritis","Typhoid","Food Poisoning"),
H20="Orthopedics",CHOOSE(RANDBETWEEN(1,6),"Fracture","Arthritis","Back Pain","Joint Pain","Knee Injury","Shoulder Dislocation"),
H20="Neurology",CHOOSE(RANDBETWEEN(1,6),"Migraine","Stroke","Epilepsy","Vertigo","Parkinson's Disease","Peripheral Neuropathy"),
H20="Pediatrics",CHOOSE(RANDBETWEEN(1,6),"Common Cold","Asthma","Pneumonia","Ear Infection","Viral Fever","Stomach Infection"),
H20="Dermatology",CHOOSE(RANDBETWEEN(1,6),"Acne","Eczema","Psoriasis","Fungal Infection","Heat Rash","Contact Dermatitis"),
H20="ENT",CHOOSE(RANDBETWEEN(1,6),"Sinusitis","Tonsillitis","Ear Infection","Throat Infection","Allergic Rhinitis","Otitis Media"),
H20="Gynecology",CHOOSE(RANDBETWEEN(1,6),"PCOS","UTI","Pregnancy Checkup","Menstrual Disorder","Ovarian Cyst","Endometriosis")
)</f>
        <v>Food Poisoning</v>
      </c>
      <c r="F20" t="str" cm="1">
        <f t="array" ref="F20">_xlfn.SWITCH(K20,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20" t="s">
        <v>72</v>
      </c>
      <c r="H20" t="s">
        <v>73</v>
      </c>
      <c r="I20" t="s">
        <v>105</v>
      </c>
      <c r="J20" s="1">
        <v>45712</v>
      </c>
      <c r="K20" t="str">
        <f t="shared" si="3"/>
        <v>February</v>
      </c>
      <c r="L20">
        <f t="shared" si="0"/>
        <v>2</v>
      </c>
      <c r="M20" t="s">
        <v>26</v>
      </c>
      <c r="N20" t="s">
        <v>27</v>
      </c>
      <c r="O20">
        <v>800</v>
      </c>
      <c r="P20">
        <v>900</v>
      </c>
      <c r="Q20">
        <v>600</v>
      </c>
      <c r="R20">
        <v>0</v>
      </c>
      <c r="S20" t="s">
        <v>28</v>
      </c>
      <c r="T20" t="s">
        <v>29</v>
      </c>
      <c r="U20">
        <v>2300</v>
      </c>
      <c r="V20">
        <v>0</v>
      </c>
      <c r="W20">
        <v>4.5</v>
      </c>
      <c r="X20" t="s">
        <v>377</v>
      </c>
      <c r="Y20" t="s">
        <v>578</v>
      </c>
      <c r="Z20" s="1">
        <v>45712</v>
      </c>
      <c r="AA20" s="1">
        <f>Table1[[#This Row],[Admission_Date]]+Table1[[#This Row],[Length_of_Stay]]</f>
        <v>45712</v>
      </c>
      <c r="AB20" t="str">
        <f t="shared" ca="1" si="1"/>
        <v>N/A</v>
      </c>
      <c r="AC20" t="str">
        <f ca="1">IF(AB20="General Ward","GW"&amp;TEXT(COUNTIF($AB$2:AB20,"General Ward"),"000"),IF(AB20="Semi Private","SP"&amp;TEXT(COUNTIF($AB$2:AB20,"Semi Private"),"000"),IF(AB20="Private Room","PR"&amp;TEXT(COUNTIF($AB$2:AB20,"Private Room"),"000"),IF(AB20="ICU","ICU"&amp;TEXT(COUNTIF($AB$2:AB20,"ICU"),"000"),"N/A"))))</f>
        <v>N/A</v>
      </c>
      <c r="AD20" t="str">
        <f t="shared" ca="1" si="4"/>
        <v>Not Admitted</v>
      </c>
      <c r="AE20" s="2" t="str">
        <f t="shared" ca="1" si="2"/>
        <v>N/A</v>
      </c>
    </row>
    <row r="21" spans="1:31" x14ac:dyDescent="0.3">
      <c r="A21" t="s">
        <v>106</v>
      </c>
      <c r="B21" t="s">
        <v>107</v>
      </c>
      <c r="C21" t="s">
        <v>32</v>
      </c>
      <c r="D21">
        <v>18</v>
      </c>
      <c r="E21" t="str" cm="1">
        <f t="array" aca="1" ref="E21" ca="1">_xlfn.IFS(
H21="Cardiology",CHOOSE(RANDBETWEEN(1,6),"Hypertension","Arrhythmia","Angina","Heart Failure","Chest Pain","Coronary Artery Disease"),
H21="General Medicine",CHOOSE(RANDBETWEEN(1,6),"Viral Fever","Influenza","Diabetes","Gastritis","Typhoid","Food Poisoning"),
H21="Orthopedics",CHOOSE(RANDBETWEEN(1,6),"Fracture","Arthritis","Back Pain","Joint Pain","Knee Injury","Shoulder Dislocation"),
H21="Neurology",CHOOSE(RANDBETWEEN(1,6),"Migraine","Stroke","Epilepsy","Vertigo","Parkinson's Disease","Peripheral Neuropathy"),
H21="Pediatrics",CHOOSE(RANDBETWEEN(1,6),"Common Cold","Asthma","Pneumonia","Ear Infection","Viral Fever","Stomach Infection"),
H21="Dermatology",CHOOSE(RANDBETWEEN(1,6),"Acne","Eczema","Psoriasis","Fungal Infection","Heat Rash","Contact Dermatitis"),
H21="ENT",CHOOSE(RANDBETWEEN(1,6),"Sinusitis","Tonsillitis","Ear Infection","Throat Infection","Allergic Rhinitis","Otitis Media"),
H21="Gynecology",CHOOSE(RANDBETWEEN(1,6),"PCOS","UTI","Pregnancy Checkup","Menstrual Disorder","Ovarian Cyst","Endometriosis")
)</f>
        <v>Ear Infection</v>
      </c>
      <c r="F21" t="str" cm="1">
        <f t="array" ref="F21">_xlfn.SWITCH(K21,
"January","Winter",
"February","Winter",
"March","Summer",
"April","Summer",
"May","Summer",
"June","Monsoon",
"July","Monsoon",
"August","Monsoon",
"September","Monsoon",
"October","Post-Monsoon",
"November","Post-Monsoon",
"December","Winter")</f>
        <v>Winter</v>
      </c>
      <c r="G21" t="s">
        <v>77</v>
      </c>
      <c r="H21" t="s">
        <v>48</v>
      </c>
      <c r="I21" t="s">
        <v>108</v>
      </c>
      <c r="J21" s="1">
        <v>45715</v>
      </c>
      <c r="K21" t="str">
        <f t="shared" si="3"/>
        <v>February</v>
      </c>
      <c r="L21">
        <f t="shared" si="0"/>
        <v>2</v>
      </c>
      <c r="M21" t="s">
        <v>26</v>
      </c>
      <c r="N21" t="s">
        <v>27</v>
      </c>
      <c r="O21">
        <v>700</v>
      </c>
      <c r="P21">
        <v>600</v>
      </c>
      <c r="Q21">
        <v>400</v>
      </c>
      <c r="R21">
        <v>0</v>
      </c>
      <c r="S21" t="s">
        <v>28</v>
      </c>
      <c r="T21" t="s">
        <v>50</v>
      </c>
      <c r="U21">
        <v>1700</v>
      </c>
      <c r="V21">
        <v>0</v>
      </c>
      <c r="W21">
        <v>4.7</v>
      </c>
      <c r="X21" t="s">
        <v>378</v>
      </c>
      <c r="Y21" t="s">
        <v>579</v>
      </c>
      <c r="Z21" s="1">
        <v>45715</v>
      </c>
      <c r="AA21" s="1">
        <f>Table1[[#This Row],[Admission_Date]]+Table1[[#This Row],[Length_of_Stay]]</f>
        <v>45715</v>
      </c>
      <c r="AB21" t="str">
        <f t="shared" ca="1" si="1"/>
        <v>N/A</v>
      </c>
      <c r="AC21" t="str">
        <f ca="1">IF(AB21="General Ward","GW"&amp;TEXT(COUNTIF($AB$2:AB21,"General Ward"),"000"),IF(AB21="Semi Private","SP"&amp;TEXT(COUNTIF($AB$2:AB21,"Semi Private"),"000"),IF(AB21="Private Room","PR"&amp;TEXT(COUNTIF($AB$2:AB21,"Private Room"),"000"),IF(AB21="ICU","ICU"&amp;TEXT(COUNTIF($AB$2:AB21,"ICU"),"000"),"N/A"))))</f>
        <v>N/A</v>
      </c>
      <c r="AD21" t="str">
        <f t="shared" ca="1" si="4"/>
        <v>Not Admitted</v>
      </c>
      <c r="AE21" s="2" t="str">
        <f t="shared" ca="1" si="2"/>
        <v>N/A</v>
      </c>
    </row>
    <row r="22" spans="1:31" x14ac:dyDescent="0.3">
      <c r="A22" t="s">
        <v>109</v>
      </c>
      <c r="B22" t="s">
        <v>110</v>
      </c>
      <c r="C22" t="s">
        <v>32</v>
      </c>
      <c r="D22">
        <v>42</v>
      </c>
      <c r="E22" t="str" cm="1">
        <f t="array" aca="1" ref="E22" ca="1">_xlfn.IFS(
H22="Cardiology",CHOOSE(RANDBETWEEN(1,6),"Hypertension","Arrhythmia","Angina","Heart Failure","Chest Pain","Coronary Artery Disease"),
H22="General Medicine",CHOOSE(RANDBETWEEN(1,6),"Viral Fever","Influenza","Diabetes","Gastritis","Typhoid","Food Poisoning"),
H22="Orthopedics",CHOOSE(RANDBETWEEN(1,6),"Fracture","Arthritis","Back Pain","Joint Pain","Knee Injury","Shoulder Dislocation"),
H22="Neurology",CHOOSE(RANDBETWEEN(1,6),"Migraine","Stroke","Epilepsy","Vertigo","Parkinson's Disease","Peripheral Neuropathy"),
H22="Pediatrics",CHOOSE(RANDBETWEEN(1,6),"Common Cold","Asthma","Pneumonia","Ear Infection","Viral Fever","Stomach Infection"),
H22="Dermatology",CHOOSE(RANDBETWEEN(1,6),"Acne","Eczema","Psoriasis","Fungal Infection","Heat Rash","Contact Dermatitis"),
H22="ENT",CHOOSE(RANDBETWEEN(1,6),"Sinusitis","Tonsillitis","Ear Infection","Throat Infection","Allergic Rhinitis","Otitis Media"),
H22="Gynecology",CHOOSE(RANDBETWEEN(1,6),"PCOS","UTI","Pregnancy Checkup","Menstrual Disorder","Ovarian Cyst","Endometriosis")
)</f>
        <v>Chest Pain</v>
      </c>
      <c r="F22" t="str" cm="1">
        <f t="array" ref="F22">_xlfn.SWITCH(K22,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22" t="s">
        <v>23</v>
      </c>
      <c r="H22" t="s">
        <v>24</v>
      </c>
      <c r="I22" t="s">
        <v>25</v>
      </c>
      <c r="J22" s="1">
        <v>45719</v>
      </c>
      <c r="K22" t="str">
        <f t="shared" si="3"/>
        <v>March</v>
      </c>
      <c r="L22">
        <f t="shared" si="0"/>
        <v>3</v>
      </c>
      <c r="M22" t="s">
        <v>26</v>
      </c>
      <c r="N22" t="s">
        <v>27</v>
      </c>
      <c r="O22">
        <v>1200</v>
      </c>
      <c r="P22">
        <v>1800</v>
      </c>
      <c r="Q22">
        <v>900</v>
      </c>
      <c r="R22">
        <v>0</v>
      </c>
      <c r="S22" t="s">
        <v>28</v>
      </c>
      <c r="T22" t="s">
        <v>29</v>
      </c>
      <c r="U22">
        <v>3900</v>
      </c>
      <c r="V22">
        <v>0</v>
      </c>
      <c r="W22">
        <v>4.8</v>
      </c>
      <c r="X22" t="s">
        <v>379</v>
      </c>
      <c r="Y22" t="s">
        <v>580</v>
      </c>
      <c r="Z22" s="1">
        <v>45719</v>
      </c>
      <c r="AA22" s="1">
        <f>Table1[[#This Row],[Admission_Date]]+Table1[[#This Row],[Length_of_Stay]]</f>
        <v>45719</v>
      </c>
      <c r="AB22" t="str">
        <f t="shared" ca="1" si="1"/>
        <v>N/A</v>
      </c>
      <c r="AC22" t="str">
        <f ca="1">IF(AB22="General Ward","GW"&amp;TEXT(COUNTIF($AB$2:AB22,"General Ward"),"000"),IF(AB22="Semi Private","SP"&amp;TEXT(COUNTIF($AB$2:AB22,"Semi Private"),"000"),IF(AB22="Private Room","PR"&amp;TEXT(COUNTIF($AB$2:AB22,"Private Room"),"000"),IF(AB22="ICU","ICU"&amp;TEXT(COUNTIF($AB$2:AB22,"ICU"),"000"),"N/A"))))</f>
        <v>N/A</v>
      </c>
      <c r="AD22" t="str">
        <f t="shared" ca="1" si="4"/>
        <v>Not Admitted</v>
      </c>
      <c r="AE22" s="2" t="str">
        <f t="shared" ca="1" si="2"/>
        <v>N/A</v>
      </c>
    </row>
    <row r="23" spans="1:31" x14ac:dyDescent="0.3">
      <c r="A23" t="s">
        <v>111</v>
      </c>
      <c r="B23" t="s">
        <v>112</v>
      </c>
      <c r="C23" t="s">
        <v>22</v>
      </c>
      <c r="D23">
        <v>29</v>
      </c>
      <c r="E23" t="str" cm="1">
        <f t="array" aca="1" ref="E23" ca="1">_xlfn.IFS(
H23="Cardiology",CHOOSE(RANDBETWEEN(1,6),"Hypertension","Arrhythmia","Angina","Heart Failure","Chest Pain","Coronary Artery Disease"),
H23="General Medicine",CHOOSE(RANDBETWEEN(1,6),"Viral Fever","Influenza","Diabetes","Gastritis","Typhoid","Food Poisoning"),
H23="Orthopedics",CHOOSE(RANDBETWEEN(1,6),"Fracture","Arthritis","Back Pain","Joint Pain","Knee Injury","Shoulder Dislocation"),
H23="Neurology",CHOOSE(RANDBETWEEN(1,6),"Migraine","Stroke","Epilepsy","Vertigo","Parkinson's Disease","Peripheral Neuropathy"),
H23="Pediatrics",CHOOSE(RANDBETWEEN(1,6),"Common Cold","Asthma","Pneumonia","Ear Infection","Viral Fever","Stomach Infection"),
H23="Dermatology",CHOOSE(RANDBETWEEN(1,6),"Acne","Eczema","Psoriasis","Fungal Infection","Heat Rash","Contact Dermatitis"),
H23="ENT",CHOOSE(RANDBETWEEN(1,6),"Sinusitis","Tonsillitis","Ear Infection","Throat Infection","Allergic Rhinitis","Otitis Media"),
H23="Gynecology",CHOOSE(RANDBETWEEN(1,6),"PCOS","UTI","Pregnancy Checkup","Menstrual Disorder","Ovarian Cyst","Endometriosis")
)</f>
        <v>Throat Infection</v>
      </c>
      <c r="F23" t="str" cm="1">
        <f t="array" ref="F23">_xlfn.SWITCH(K23,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23" t="s">
        <v>33</v>
      </c>
      <c r="H23" t="s">
        <v>64</v>
      </c>
      <c r="I23" t="s">
        <v>65</v>
      </c>
      <c r="J23" s="1">
        <v>45721</v>
      </c>
      <c r="K23" t="str">
        <f t="shared" si="3"/>
        <v>March</v>
      </c>
      <c r="L23">
        <f t="shared" si="0"/>
        <v>3</v>
      </c>
      <c r="M23" t="s">
        <v>26</v>
      </c>
      <c r="N23" t="s">
        <v>27</v>
      </c>
      <c r="O23">
        <v>1000</v>
      </c>
      <c r="P23">
        <v>900</v>
      </c>
      <c r="Q23">
        <v>700</v>
      </c>
      <c r="R23">
        <v>0</v>
      </c>
      <c r="S23" t="s">
        <v>28</v>
      </c>
      <c r="T23" t="s">
        <v>50</v>
      </c>
      <c r="U23">
        <v>2600</v>
      </c>
      <c r="V23">
        <v>0</v>
      </c>
      <c r="W23">
        <v>4.5</v>
      </c>
      <c r="X23" t="s">
        <v>380</v>
      </c>
      <c r="Y23" t="s">
        <v>581</v>
      </c>
      <c r="Z23" s="1">
        <v>45721</v>
      </c>
      <c r="AA23" s="1">
        <f>Table1[[#This Row],[Admission_Date]]+Table1[[#This Row],[Length_of_Stay]]</f>
        <v>45721</v>
      </c>
      <c r="AB23" t="str">
        <f t="shared" ca="1" si="1"/>
        <v>N/A</v>
      </c>
      <c r="AC23" t="str">
        <f ca="1">IF(AB23="General Ward","GW"&amp;TEXT(COUNTIF($AB$2:AB23,"General Ward"),"000"),IF(AB23="Semi Private","SP"&amp;TEXT(COUNTIF($AB$2:AB23,"Semi Private"),"000"),IF(AB23="Private Room","PR"&amp;TEXT(COUNTIF($AB$2:AB23,"Private Room"),"000"),IF(AB23="ICU","ICU"&amp;TEXT(COUNTIF($AB$2:AB23,"ICU"),"000"),"N/A"))))</f>
        <v>N/A</v>
      </c>
      <c r="AD23" t="str">
        <f t="shared" ca="1" si="4"/>
        <v>Not Admitted</v>
      </c>
      <c r="AE23" s="2" t="str">
        <f t="shared" ca="1" si="2"/>
        <v>N/A</v>
      </c>
    </row>
    <row r="24" spans="1:31" x14ac:dyDescent="0.3">
      <c r="A24" t="s">
        <v>113</v>
      </c>
      <c r="B24" t="s">
        <v>114</v>
      </c>
      <c r="C24" t="s">
        <v>32</v>
      </c>
      <c r="D24">
        <v>51</v>
      </c>
      <c r="E24" t="str" cm="1">
        <f t="array" aca="1" ref="E24" ca="1">_xlfn.IFS(
H24="Cardiology",CHOOSE(RANDBETWEEN(1,6),"Hypertension","Arrhythmia","Angina","Heart Failure","Chest Pain","Coronary Artery Disease"),
H24="General Medicine",CHOOSE(RANDBETWEEN(1,6),"Viral Fever","Influenza","Diabetes","Gastritis","Typhoid","Food Poisoning"),
H24="Orthopedics",CHOOSE(RANDBETWEEN(1,6),"Fracture","Arthritis","Back Pain","Joint Pain","Knee Injury","Shoulder Dislocation"),
H24="Neurology",CHOOSE(RANDBETWEEN(1,6),"Migraine","Stroke","Epilepsy","Vertigo","Parkinson's Disease","Peripheral Neuropathy"),
H24="Pediatrics",CHOOSE(RANDBETWEEN(1,6),"Common Cold","Asthma","Pneumonia","Ear Infection","Viral Fever","Stomach Infection"),
H24="Dermatology",CHOOSE(RANDBETWEEN(1,6),"Acne","Eczema","Psoriasis","Fungal Infection","Heat Rash","Contact Dermatitis"),
H24="ENT",CHOOSE(RANDBETWEEN(1,6),"Sinusitis","Tonsillitis","Ear Infection","Throat Infection","Allergic Rhinitis","Otitis Media"),
H24="Gynecology",CHOOSE(RANDBETWEEN(1,6),"PCOS","UTI","Pregnancy Checkup","Menstrual Disorder","Ovarian Cyst","Endometriosis")
)</f>
        <v>Back Pain</v>
      </c>
      <c r="F24" t="str" cm="1">
        <f t="array" ref="F24">_xlfn.SWITCH(K24,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24" t="s">
        <v>40</v>
      </c>
      <c r="H24" t="s">
        <v>41</v>
      </c>
      <c r="I24" t="s">
        <v>102</v>
      </c>
      <c r="J24" s="1">
        <v>45722</v>
      </c>
      <c r="K24" t="str">
        <f t="shared" si="3"/>
        <v>March</v>
      </c>
      <c r="L24">
        <f t="shared" si="0"/>
        <v>3</v>
      </c>
      <c r="M24" t="s">
        <v>26</v>
      </c>
      <c r="N24" t="s">
        <v>36</v>
      </c>
      <c r="O24">
        <v>1800</v>
      </c>
      <c r="P24">
        <v>6500</v>
      </c>
      <c r="Q24">
        <v>3200</v>
      </c>
      <c r="R24">
        <v>18000</v>
      </c>
      <c r="S24" t="s">
        <v>37</v>
      </c>
      <c r="T24" t="s">
        <v>15</v>
      </c>
      <c r="U24">
        <v>29500</v>
      </c>
      <c r="V24">
        <v>5</v>
      </c>
      <c r="W24">
        <v>4.9000000000000004</v>
      </c>
      <c r="X24" t="s">
        <v>381</v>
      </c>
      <c r="Y24" t="s">
        <v>582</v>
      </c>
      <c r="Z24" s="1">
        <v>45722</v>
      </c>
      <c r="AA24" s="1">
        <f>Table1[[#This Row],[Admission_Date]]+Table1[[#This Row],[Length_of_Stay]]</f>
        <v>45727</v>
      </c>
      <c r="AB24" t="str">
        <f t="shared" ca="1" si="1"/>
        <v>General Ward</v>
      </c>
      <c r="AC24" t="str">
        <f ca="1">IF(AB24="General Ward","GW"&amp;TEXT(COUNTIF($AB$2:AB24,"General Ward"),"000"),IF(AB24="Semi Private","SP"&amp;TEXT(COUNTIF($AB$2:AB24,"Semi Private"),"000"),IF(AB24="Private Room","PR"&amp;TEXT(COUNTIF($AB$2:AB24,"Private Room"),"000"),IF(AB24="ICU","ICU"&amp;TEXT(COUNTIF($AB$2:AB24,"ICU"),"000"),"N/A"))))</f>
        <v>GW001</v>
      </c>
      <c r="AD24" t="str">
        <f t="shared" ca="1" si="4"/>
        <v>Available</v>
      </c>
      <c r="AE24" s="2" t="str">
        <f t="shared" ca="1" si="2"/>
        <v>Walk-in</v>
      </c>
    </row>
    <row r="25" spans="1:31" x14ac:dyDescent="0.3">
      <c r="A25" t="s">
        <v>115</v>
      </c>
      <c r="B25" t="s">
        <v>116</v>
      </c>
      <c r="C25" t="s">
        <v>22</v>
      </c>
      <c r="D25">
        <v>38</v>
      </c>
      <c r="E25" t="str" cm="1">
        <f t="array" aca="1" ref="E25" ca="1">_xlfn.IFS(
H25="Cardiology",CHOOSE(RANDBETWEEN(1,6),"Hypertension","Arrhythmia","Angina","Heart Failure","Chest Pain","Coronary Artery Disease"),
H25="General Medicine",CHOOSE(RANDBETWEEN(1,6),"Viral Fever","Influenza","Diabetes","Gastritis","Typhoid","Food Poisoning"),
H25="Orthopedics",CHOOSE(RANDBETWEEN(1,6),"Fracture","Arthritis","Back Pain","Joint Pain","Knee Injury","Shoulder Dislocation"),
H25="Neurology",CHOOSE(RANDBETWEEN(1,6),"Migraine","Stroke","Epilepsy","Vertigo","Parkinson's Disease","Peripheral Neuropathy"),
H25="Pediatrics",CHOOSE(RANDBETWEEN(1,6),"Common Cold","Asthma","Pneumonia","Ear Infection","Viral Fever","Stomach Infection"),
H25="Dermatology",CHOOSE(RANDBETWEEN(1,6),"Acne","Eczema","Psoriasis","Fungal Infection","Heat Rash","Contact Dermatitis"),
H25="ENT",CHOOSE(RANDBETWEEN(1,6),"Sinusitis","Tonsillitis","Ear Infection","Throat Infection","Allergic Rhinitis","Otitis Media"),
H25="Gynecology",CHOOSE(RANDBETWEEN(1,6),"PCOS","UTI","Pregnancy Checkup","Menstrual Disorder","Ovarian Cyst","Endometriosis")
)</f>
        <v>Influenza</v>
      </c>
      <c r="F25" t="str" cm="1">
        <f t="array" ref="F25">_xlfn.SWITCH(K25,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25" t="s">
        <v>53</v>
      </c>
      <c r="H25" t="s">
        <v>73</v>
      </c>
      <c r="I25" t="s">
        <v>74</v>
      </c>
      <c r="J25" s="1">
        <v>45724</v>
      </c>
      <c r="K25" t="str">
        <f t="shared" si="3"/>
        <v>March</v>
      </c>
      <c r="L25">
        <f t="shared" si="0"/>
        <v>3</v>
      </c>
      <c r="M25" t="s">
        <v>43</v>
      </c>
      <c r="N25" t="s">
        <v>27</v>
      </c>
      <c r="O25">
        <v>800</v>
      </c>
      <c r="P25">
        <v>700</v>
      </c>
      <c r="Q25">
        <v>600</v>
      </c>
      <c r="R25">
        <v>0</v>
      </c>
      <c r="S25" t="s">
        <v>28</v>
      </c>
      <c r="T25" t="s">
        <v>44</v>
      </c>
      <c r="U25">
        <v>2100</v>
      </c>
      <c r="V25">
        <v>0</v>
      </c>
      <c r="W25">
        <v>4.0999999999999996</v>
      </c>
      <c r="X25" t="s">
        <v>382</v>
      </c>
      <c r="Y25" t="s">
        <v>583</v>
      </c>
      <c r="Z25" s="1">
        <v>45724</v>
      </c>
      <c r="AA25" s="1">
        <f>Table1[[#This Row],[Admission_Date]]+Table1[[#This Row],[Length_of_Stay]]</f>
        <v>45724</v>
      </c>
      <c r="AB25" t="str">
        <f t="shared" ca="1" si="1"/>
        <v>N/A</v>
      </c>
      <c r="AC25" t="str">
        <f ca="1">IF(AB25="General Ward","GW"&amp;TEXT(COUNTIF($AB$2:AB25,"General Ward"),"000"),IF(AB25="Semi Private","SP"&amp;TEXT(COUNTIF($AB$2:AB25,"Semi Private"),"000"),IF(AB25="Private Room","PR"&amp;TEXT(COUNTIF($AB$2:AB25,"Private Room"),"000"),IF(AB25="ICU","ICU"&amp;TEXT(COUNTIF($AB$2:AB25,"ICU"),"000"),"N/A"))))</f>
        <v>N/A</v>
      </c>
      <c r="AD25" t="str">
        <f t="shared" ca="1" si="4"/>
        <v>Not Admitted</v>
      </c>
      <c r="AE25" s="2" t="str">
        <f t="shared" ca="1" si="2"/>
        <v>N/A</v>
      </c>
    </row>
    <row r="26" spans="1:31" x14ac:dyDescent="0.3">
      <c r="A26" t="s">
        <v>117</v>
      </c>
      <c r="B26" t="s">
        <v>118</v>
      </c>
      <c r="C26" t="s">
        <v>32</v>
      </c>
      <c r="D26">
        <v>8</v>
      </c>
      <c r="E26" t="str" cm="1">
        <f t="array" aca="1" ref="E26" ca="1">_xlfn.IFS(
H26="Cardiology",CHOOSE(RANDBETWEEN(1,6),"Hypertension","Arrhythmia","Angina","Heart Failure","Chest Pain","Coronary Artery Disease"),
H26="General Medicine",CHOOSE(RANDBETWEEN(1,6),"Viral Fever","Influenza","Diabetes","Gastritis","Typhoid","Food Poisoning"),
H26="Orthopedics",CHOOSE(RANDBETWEEN(1,6),"Fracture","Arthritis","Back Pain","Joint Pain","Knee Injury","Shoulder Dislocation"),
H26="Neurology",CHOOSE(RANDBETWEEN(1,6),"Migraine","Stroke","Epilepsy","Vertigo","Parkinson's Disease","Peripheral Neuropathy"),
H26="Pediatrics",CHOOSE(RANDBETWEEN(1,6),"Common Cold","Asthma","Pneumonia","Ear Infection","Viral Fever","Stomach Infection"),
H26="Dermatology",CHOOSE(RANDBETWEEN(1,6),"Acne","Eczema","Psoriasis","Fungal Infection","Heat Rash","Contact Dermatitis"),
H26="ENT",CHOOSE(RANDBETWEEN(1,6),"Sinusitis","Tonsillitis","Ear Infection","Throat Infection","Allergic Rhinitis","Otitis Media"),
H26="Gynecology",CHOOSE(RANDBETWEEN(1,6),"PCOS","UTI","Pregnancy Checkup","Menstrual Disorder","Ovarian Cyst","Endometriosis")
)</f>
        <v>Asthma</v>
      </c>
      <c r="F26" t="str" cm="1">
        <f t="array" ref="F26">_xlfn.SWITCH(K26,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26" t="s">
        <v>47</v>
      </c>
      <c r="H26" t="s">
        <v>48</v>
      </c>
      <c r="I26" t="s">
        <v>108</v>
      </c>
      <c r="J26" s="1">
        <v>45725</v>
      </c>
      <c r="K26" t="str">
        <f t="shared" si="3"/>
        <v>March</v>
      </c>
      <c r="L26">
        <f t="shared" si="0"/>
        <v>3</v>
      </c>
      <c r="M26" t="s">
        <v>26</v>
      </c>
      <c r="N26" t="s">
        <v>27</v>
      </c>
      <c r="O26">
        <v>700</v>
      </c>
      <c r="P26">
        <v>500</v>
      </c>
      <c r="Q26">
        <v>400</v>
      </c>
      <c r="R26">
        <v>0</v>
      </c>
      <c r="S26" t="s">
        <v>28</v>
      </c>
      <c r="T26" t="s">
        <v>29</v>
      </c>
      <c r="U26">
        <v>1600</v>
      </c>
      <c r="V26">
        <v>0</v>
      </c>
      <c r="W26">
        <v>4.9000000000000004</v>
      </c>
      <c r="X26" t="s">
        <v>383</v>
      </c>
      <c r="Y26" t="s">
        <v>584</v>
      </c>
      <c r="Z26" s="1">
        <v>45725</v>
      </c>
      <c r="AA26" s="1">
        <f>Table1[[#This Row],[Admission_Date]]+Table1[[#This Row],[Length_of_Stay]]</f>
        <v>45725</v>
      </c>
      <c r="AB26" t="str">
        <f t="shared" ca="1" si="1"/>
        <v>N/A</v>
      </c>
      <c r="AC26" t="str">
        <f ca="1">IF(AB26="General Ward","GW"&amp;TEXT(COUNTIF($AB$2:AB26,"General Ward"),"000"),IF(AB26="Semi Private","SP"&amp;TEXT(COUNTIF($AB$2:AB26,"Semi Private"),"000"),IF(AB26="Private Room","PR"&amp;TEXT(COUNTIF($AB$2:AB26,"Private Room"),"000"),IF(AB26="ICU","ICU"&amp;TEXT(COUNTIF($AB$2:AB26,"ICU"),"000"),"N/A"))))</f>
        <v>N/A</v>
      </c>
      <c r="AD26" t="str">
        <f t="shared" ca="1" si="4"/>
        <v>Not Admitted</v>
      </c>
      <c r="AE26" s="2" t="str">
        <f t="shared" ca="1" si="2"/>
        <v>N/A</v>
      </c>
    </row>
    <row r="27" spans="1:31" x14ac:dyDescent="0.3">
      <c r="A27" t="s">
        <v>119</v>
      </c>
      <c r="B27" t="s">
        <v>120</v>
      </c>
      <c r="C27" t="s">
        <v>22</v>
      </c>
      <c r="D27">
        <v>64</v>
      </c>
      <c r="E27" t="str" cm="1">
        <f t="array" aca="1" ref="E27" ca="1">_xlfn.IFS(
H27="Cardiology",CHOOSE(RANDBETWEEN(1,6),"Hypertension","Arrhythmia","Angina","Heart Failure","Chest Pain","Coronary Artery Disease"),
H27="General Medicine",CHOOSE(RANDBETWEEN(1,6),"Viral Fever","Influenza","Diabetes","Gastritis","Typhoid","Food Poisoning"),
H27="Orthopedics",CHOOSE(RANDBETWEEN(1,6),"Fracture","Arthritis","Back Pain","Joint Pain","Knee Injury","Shoulder Dislocation"),
H27="Neurology",CHOOSE(RANDBETWEEN(1,6),"Migraine","Stroke","Epilepsy","Vertigo","Parkinson's Disease","Peripheral Neuropathy"),
H27="Pediatrics",CHOOSE(RANDBETWEEN(1,6),"Common Cold","Asthma","Pneumonia","Ear Infection","Viral Fever","Stomach Infection"),
H27="Dermatology",CHOOSE(RANDBETWEEN(1,6),"Acne","Eczema","Psoriasis","Fungal Infection","Heat Rash","Contact Dermatitis"),
H27="ENT",CHOOSE(RANDBETWEEN(1,6),"Sinusitis","Tonsillitis","Ear Infection","Throat Infection","Allergic Rhinitis","Otitis Media"),
H27="Gynecology",CHOOSE(RANDBETWEEN(1,6),"PCOS","UTI","Pregnancy Checkup","Menstrual Disorder","Ovarian Cyst","Endometriosis")
)</f>
        <v>Migraine</v>
      </c>
      <c r="F27" t="str" cm="1">
        <f t="array" ref="F27">_xlfn.SWITCH(K27,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27" t="s">
        <v>68</v>
      </c>
      <c r="H27" t="s">
        <v>54</v>
      </c>
      <c r="I27" t="s">
        <v>87</v>
      </c>
      <c r="J27" s="1">
        <v>45727</v>
      </c>
      <c r="K27" t="str">
        <f t="shared" si="3"/>
        <v>March</v>
      </c>
      <c r="L27">
        <f t="shared" si="0"/>
        <v>3</v>
      </c>
      <c r="M27" t="s">
        <v>26</v>
      </c>
      <c r="N27" t="s">
        <v>36</v>
      </c>
      <c r="O27">
        <v>2000</v>
      </c>
      <c r="P27">
        <v>9000</v>
      </c>
      <c r="Q27">
        <v>4500</v>
      </c>
      <c r="R27">
        <v>25000</v>
      </c>
      <c r="S27" t="s">
        <v>37</v>
      </c>
      <c r="T27" t="s">
        <v>15</v>
      </c>
      <c r="U27">
        <v>40500</v>
      </c>
      <c r="V27">
        <v>7</v>
      </c>
      <c r="W27">
        <v>5</v>
      </c>
      <c r="X27" t="s">
        <v>384</v>
      </c>
      <c r="Y27" t="s">
        <v>585</v>
      </c>
      <c r="Z27" s="1">
        <v>45727</v>
      </c>
      <c r="AA27" s="1">
        <f>Table1[[#This Row],[Admission_Date]]+Table1[[#This Row],[Length_of_Stay]]</f>
        <v>45734</v>
      </c>
      <c r="AB27" t="str">
        <f t="shared" ca="1" si="1"/>
        <v>Private Room</v>
      </c>
      <c r="AC27" t="str">
        <f ca="1">IF(AB27="General Ward","GW"&amp;TEXT(COUNTIF($AB$2:AB27,"General Ward"),"000"),IF(AB27="Semi Private","SP"&amp;TEXT(COUNTIF($AB$2:AB27,"Semi Private"),"000"),IF(AB27="Private Room","PR"&amp;TEXT(COUNTIF($AB$2:AB27,"Private Room"),"000"),IF(AB27="ICU","ICU"&amp;TEXT(COUNTIF($AB$2:AB27,"ICU"),"000"),"N/A"))))</f>
        <v>PR004</v>
      </c>
      <c r="AD27" t="str">
        <f t="shared" ca="1" si="4"/>
        <v>Occupied</v>
      </c>
      <c r="AE27" s="2" t="str">
        <f t="shared" ca="1" si="2"/>
        <v>Walk-in</v>
      </c>
    </row>
    <row r="28" spans="1:31" x14ac:dyDescent="0.3">
      <c r="A28" t="s">
        <v>121</v>
      </c>
      <c r="B28" t="s">
        <v>122</v>
      </c>
      <c r="C28" t="s">
        <v>32</v>
      </c>
      <c r="D28">
        <v>26</v>
      </c>
      <c r="E28" t="str" cm="1">
        <f t="array" aca="1" ref="E28" ca="1">_xlfn.IFS(
H28="Cardiology",CHOOSE(RANDBETWEEN(1,6),"Hypertension","Arrhythmia","Angina","Heart Failure","Chest Pain","Coronary Artery Disease"),
H28="General Medicine",CHOOSE(RANDBETWEEN(1,6),"Viral Fever","Influenza","Diabetes","Gastritis","Typhoid","Food Poisoning"),
H28="Orthopedics",CHOOSE(RANDBETWEEN(1,6),"Fracture","Arthritis","Back Pain","Joint Pain","Knee Injury","Shoulder Dislocation"),
H28="Neurology",CHOOSE(RANDBETWEEN(1,6),"Migraine","Stroke","Epilepsy","Vertigo","Parkinson's Disease","Peripheral Neuropathy"),
H28="Pediatrics",CHOOSE(RANDBETWEEN(1,6),"Common Cold","Asthma","Pneumonia","Ear Infection","Viral Fever","Stomach Infection"),
H28="Dermatology",CHOOSE(RANDBETWEEN(1,6),"Acne","Eczema","Psoriasis","Fungal Infection","Heat Rash","Contact Dermatitis"),
H28="ENT",CHOOSE(RANDBETWEEN(1,6),"Sinusitis","Tonsillitis","Ear Infection","Throat Infection","Allergic Rhinitis","Otitis Media"),
H28="Gynecology",CHOOSE(RANDBETWEEN(1,6),"PCOS","UTI","Pregnancy Checkup","Menstrual Disorder","Ovarian Cyst","Endometriosis")
)</f>
        <v>Fungal Infection</v>
      </c>
      <c r="F28" t="str" cm="1">
        <f t="array" ref="F28">_xlfn.SWITCH(K28,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28" t="s">
        <v>63</v>
      </c>
      <c r="H28" t="s">
        <v>58</v>
      </c>
      <c r="I28" t="s">
        <v>59</v>
      </c>
      <c r="J28" s="1">
        <v>45728</v>
      </c>
      <c r="K28" t="str">
        <f t="shared" si="3"/>
        <v>March</v>
      </c>
      <c r="L28">
        <f t="shared" si="0"/>
        <v>3</v>
      </c>
      <c r="M28" t="s">
        <v>26</v>
      </c>
      <c r="N28" t="s">
        <v>27</v>
      </c>
      <c r="O28">
        <v>900</v>
      </c>
      <c r="P28">
        <v>600</v>
      </c>
      <c r="Q28">
        <v>500</v>
      </c>
      <c r="R28">
        <v>0</v>
      </c>
      <c r="S28" t="s">
        <v>28</v>
      </c>
      <c r="T28" t="s">
        <v>50</v>
      </c>
      <c r="U28">
        <v>2000</v>
      </c>
      <c r="V28">
        <v>0</v>
      </c>
      <c r="W28">
        <v>4.5999999999999996</v>
      </c>
      <c r="X28" t="s">
        <v>385</v>
      </c>
      <c r="Y28" t="s">
        <v>586</v>
      </c>
      <c r="Z28" s="1">
        <v>45728</v>
      </c>
      <c r="AA28" s="1">
        <f>Table1[[#This Row],[Admission_Date]]+Table1[[#This Row],[Length_of_Stay]]</f>
        <v>45728</v>
      </c>
      <c r="AB28" t="str">
        <f t="shared" ca="1" si="1"/>
        <v>N/A</v>
      </c>
      <c r="AC28" t="str">
        <f ca="1">IF(AB28="General Ward","GW"&amp;TEXT(COUNTIF($AB$2:AB28,"General Ward"),"000"),IF(AB28="Semi Private","SP"&amp;TEXT(COUNTIF($AB$2:AB28,"Semi Private"),"000"),IF(AB28="Private Room","PR"&amp;TEXT(COUNTIF($AB$2:AB28,"Private Room"),"000"),IF(AB28="ICU","ICU"&amp;TEXT(COUNTIF($AB$2:AB28,"ICU"),"000"),"N/A"))))</f>
        <v>N/A</v>
      </c>
      <c r="AD28" t="str">
        <f t="shared" ca="1" si="4"/>
        <v>Not Admitted</v>
      </c>
      <c r="AE28" s="2" t="str">
        <f t="shared" ca="1" si="2"/>
        <v>N/A</v>
      </c>
    </row>
    <row r="29" spans="1:31" x14ac:dyDescent="0.3">
      <c r="A29" t="s">
        <v>123</v>
      </c>
      <c r="B29" t="s">
        <v>124</v>
      </c>
      <c r="C29" t="s">
        <v>22</v>
      </c>
      <c r="D29">
        <v>47</v>
      </c>
      <c r="E29" t="str" cm="1">
        <f t="array" aca="1" ref="E29" ca="1">_xlfn.IFS(
H29="Cardiology",CHOOSE(RANDBETWEEN(1,6),"Hypertension","Arrhythmia","Angina","Heart Failure","Chest Pain","Coronary Artery Disease"),
H29="General Medicine",CHOOSE(RANDBETWEEN(1,6),"Viral Fever","Influenza","Diabetes","Gastritis","Typhoid","Food Poisoning"),
H29="Orthopedics",CHOOSE(RANDBETWEEN(1,6),"Fracture","Arthritis","Back Pain","Joint Pain","Knee Injury","Shoulder Dislocation"),
H29="Neurology",CHOOSE(RANDBETWEEN(1,6),"Migraine","Stroke","Epilepsy","Vertigo","Parkinson's Disease","Peripheral Neuropathy"),
H29="Pediatrics",CHOOSE(RANDBETWEEN(1,6),"Common Cold","Asthma","Pneumonia","Ear Infection","Viral Fever","Stomach Infection"),
H29="Dermatology",CHOOSE(RANDBETWEEN(1,6),"Acne","Eczema","Psoriasis","Fungal Infection","Heat Rash","Contact Dermatitis"),
H29="ENT",CHOOSE(RANDBETWEEN(1,6),"Sinusitis","Tonsillitis","Ear Infection","Throat Infection","Allergic Rhinitis","Otitis Media"),
H29="Gynecology",CHOOSE(RANDBETWEEN(1,6),"PCOS","UTI","Pregnancy Checkup","Menstrual Disorder","Ovarian Cyst","Endometriosis")
)</f>
        <v>Angina</v>
      </c>
      <c r="F29" t="str" cm="1">
        <f t="array" ref="F29">_xlfn.SWITCH(K29,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29" t="s">
        <v>72</v>
      </c>
      <c r="H29" t="s">
        <v>24</v>
      </c>
      <c r="I29" t="s">
        <v>93</v>
      </c>
      <c r="J29" s="1">
        <v>45730</v>
      </c>
      <c r="K29" t="str">
        <f t="shared" si="3"/>
        <v>March</v>
      </c>
      <c r="L29">
        <f t="shared" si="0"/>
        <v>3</v>
      </c>
      <c r="M29" t="s">
        <v>60</v>
      </c>
      <c r="N29" t="s">
        <v>27</v>
      </c>
      <c r="O29">
        <v>1200</v>
      </c>
      <c r="P29">
        <v>1000</v>
      </c>
      <c r="Q29">
        <v>800</v>
      </c>
      <c r="R29">
        <v>0</v>
      </c>
      <c r="S29" t="s">
        <v>28</v>
      </c>
      <c r="T29" t="s">
        <v>44</v>
      </c>
      <c r="U29">
        <v>3000</v>
      </c>
      <c r="V29">
        <v>0</v>
      </c>
      <c r="W29">
        <v>3.9</v>
      </c>
      <c r="X29" t="s">
        <v>386</v>
      </c>
      <c r="Y29" t="s">
        <v>587</v>
      </c>
      <c r="Z29" s="1">
        <v>45730</v>
      </c>
      <c r="AA29" s="1">
        <f>Table1[[#This Row],[Admission_Date]]+Table1[[#This Row],[Length_of_Stay]]</f>
        <v>45730</v>
      </c>
      <c r="AB29" t="str">
        <f t="shared" ca="1" si="1"/>
        <v>N/A</v>
      </c>
      <c r="AC29" t="str">
        <f ca="1">IF(AB29="General Ward","GW"&amp;TEXT(COUNTIF($AB$2:AB29,"General Ward"),"000"),IF(AB29="Semi Private","SP"&amp;TEXT(COUNTIF($AB$2:AB29,"Semi Private"),"000"),IF(AB29="Private Room","PR"&amp;TEXT(COUNTIF($AB$2:AB29,"Private Room"),"000"),IF(AB29="ICU","ICU"&amp;TEXT(COUNTIF($AB$2:AB29,"ICU"),"000"),"N/A"))))</f>
        <v>N/A</v>
      </c>
      <c r="AD29" t="str">
        <f t="shared" ca="1" si="4"/>
        <v>Not Admitted</v>
      </c>
      <c r="AE29" s="2" t="str">
        <f t="shared" ca="1" si="2"/>
        <v>N/A</v>
      </c>
    </row>
    <row r="30" spans="1:31" x14ac:dyDescent="0.3">
      <c r="A30" t="s">
        <v>125</v>
      </c>
      <c r="B30" t="s">
        <v>126</v>
      </c>
      <c r="C30" t="s">
        <v>32</v>
      </c>
      <c r="D30">
        <v>34</v>
      </c>
      <c r="E30" t="str" cm="1">
        <f t="array" aca="1" ref="E30" ca="1">_xlfn.IFS(
H30="Cardiology",CHOOSE(RANDBETWEEN(1,6),"Hypertension","Arrhythmia","Angina","Heart Failure","Chest Pain","Coronary Artery Disease"),
H30="General Medicine",CHOOSE(RANDBETWEEN(1,6),"Viral Fever","Influenza","Diabetes","Gastritis","Typhoid","Food Poisoning"),
H30="Orthopedics",CHOOSE(RANDBETWEEN(1,6),"Fracture","Arthritis","Back Pain","Joint Pain","Knee Injury","Shoulder Dislocation"),
H30="Neurology",CHOOSE(RANDBETWEEN(1,6),"Migraine","Stroke","Epilepsy","Vertigo","Parkinson's Disease","Peripheral Neuropathy"),
H30="Pediatrics",CHOOSE(RANDBETWEEN(1,6),"Common Cold","Asthma","Pneumonia","Ear Infection","Viral Fever","Stomach Infection"),
H30="Dermatology",CHOOSE(RANDBETWEEN(1,6),"Acne","Eczema","Psoriasis","Fungal Infection","Heat Rash","Contact Dermatitis"),
H30="ENT",CHOOSE(RANDBETWEEN(1,6),"Sinusitis","Tonsillitis","Ear Infection","Throat Infection","Allergic Rhinitis","Otitis Media"),
H30="Gynecology",CHOOSE(RANDBETWEEN(1,6),"PCOS","UTI","Pregnancy Checkup","Menstrual Disorder","Ovarian Cyst","Endometriosis")
)</f>
        <v>Ovarian Cyst</v>
      </c>
      <c r="F30" t="str" cm="1">
        <f t="array" ref="F30">_xlfn.SWITCH(K30,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30" t="s">
        <v>77</v>
      </c>
      <c r="H30" t="s">
        <v>34</v>
      </c>
      <c r="I30" t="s">
        <v>96</v>
      </c>
      <c r="J30" s="1">
        <v>45731</v>
      </c>
      <c r="K30" t="str">
        <f t="shared" si="3"/>
        <v>March</v>
      </c>
      <c r="L30">
        <f t="shared" si="0"/>
        <v>3</v>
      </c>
      <c r="M30" t="s">
        <v>26</v>
      </c>
      <c r="N30" t="s">
        <v>27</v>
      </c>
      <c r="O30">
        <v>1300</v>
      </c>
      <c r="P30">
        <v>1500</v>
      </c>
      <c r="Q30">
        <v>1000</v>
      </c>
      <c r="R30">
        <v>0</v>
      </c>
      <c r="S30" t="s">
        <v>28</v>
      </c>
      <c r="T30" t="s">
        <v>29</v>
      </c>
      <c r="U30">
        <v>3800</v>
      </c>
      <c r="V30">
        <v>0</v>
      </c>
      <c r="W30">
        <v>4.8</v>
      </c>
      <c r="X30" t="s">
        <v>387</v>
      </c>
      <c r="Y30" t="s">
        <v>588</v>
      </c>
      <c r="Z30" s="1">
        <v>45731</v>
      </c>
      <c r="AA30" s="1">
        <f>Table1[[#This Row],[Admission_Date]]+Table1[[#This Row],[Length_of_Stay]]</f>
        <v>45731</v>
      </c>
      <c r="AB30" t="str">
        <f t="shared" ca="1" si="1"/>
        <v>N/A</v>
      </c>
      <c r="AC30" t="str">
        <f ca="1">IF(AB30="General Ward","GW"&amp;TEXT(COUNTIF($AB$2:AB30,"General Ward"),"000"),IF(AB30="Semi Private","SP"&amp;TEXT(COUNTIF($AB$2:AB30,"Semi Private"),"000"),IF(AB30="Private Room","PR"&amp;TEXT(COUNTIF($AB$2:AB30,"Private Room"),"000"),IF(AB30="ICU","ICU"&amp;TEXT(COUNTIF($AB$2:AB30,"ICU"),"000"),"N/A"))))</f>
        <v>N/A</v>
      </c>
      <c r="AD30" t="str">
        <f t="shared" ca="1" si="4"/>
        <v>Not Admitted</v>
      </c>
      <c r="AE30" s="2" t="str">
        <f t="shared" ca="1" si="2"/>
        <v>N/A</v>
      </c>
    </row>
    <row r="31" spans="1:31" x14ac:dyDescent="0.3">
      <c r="A31" t="s">
        <v>127</v>
      </c>
      <c r="B31" t="s">
        <v>128</v>
      </c>
      <c r="C31" t="s">
        <v>22</v>
      </c>
      <c r="D31">
        <v>56</v>
      </c>
      <c r="E31" t="str" cm="1">
        <f t="array" aca="1" ref="E31" ca="1">_xlfn.IFS(
H31="Cardiology",CHOOSE(RANDBETWEEN(1,6),"Hypertension","Arrhythmia","Angina","Heart Failure","Chest Pain","Coronary Artery Disease"),
H31="General Medicine",CHOOSE(RANDBETWEEN(1,6),"Viral Fever","Influenza","Diabetes","Gastritis","Typhoid","Food Poisoning"),
H31="Orthopedics",CHOOSE(RANDBETWEEN(1,6),"Fracture","Arthritis","Back Pain","Joint Pain","Knee Injury","Shoulder Dislocation"),
H31="Neurology",CHOOSE(RANDBETWEEN(1,6),"Migraine","Stroke","Epilepsy","Vertigo","Parkinson's Disease","Peripheral Neuropathy"),
H31="Pediatrics",CHOOSE(RANDBETWEEN(1,6),"Common Cold","Asthma","Pneumonia","Ear Infection","Viral Fever","Stomach Infection"),
H31="Dermatology",CHOOSE(RANDBETWEEN(1,6),"Acne","Eczema","Psoriasis","Fungal Infection","Heat Rash","Contact Dermatitis"),
H31="ENT",CHOOSE(RANDBETWEEN(1,6),"Sinusitis","Tonsillitis","Ear Infection","Throat Infection","Allergic Rhinitis","Otitis Media"),
H31="Gynecology",CHOOSE(RANDBETWEEN(1,6),"PCOS","UTI","Pregnancy Checkup","Menstrual Disorder","Ovarian Cyst","Endometriosis")
)</f>
        <v>Back Pain</v>
      </c>
      <c r="F31" t="str" cm="1">
        <f t="array" ref="F31">_xlfn.SWITCH(K31,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31" t="s">
        <v>23</v>
      </c>
      <c r="H31" t="s">
        <v>41</v>
      </c>
      <c r="I31" t="s">
        <v>81</v>
      </c>
      <c r="J31" s="1">
        <v>45733</v>
      </c>
      <c r="K31" t="str">
        <f t="shared" si="3"/>
        <v>March</v>
      </c>
      <c r="L31">
        <f t="shared" si="0"/>
        <v>3</v>
      </c>
      <c r="M31" t="s">
        <v>26</v>
      </c>
      <c r="N31" t="s">
        <v>36</v>
      </c>
      <c r="O31">
        <v>1700</v>
      </c>
      <c r="P31">
        <v>5000</v>
      </c>
      <c r="Q31">
        <v>2800</v>
      </c>
      <c r="R31">
        <v>20000</v>
      </c>
      <c r="S31" t="s">
        <v>37</v>
      </c>
      <c r="T31" t="s">
        <v>15</v>
      </c>
      <c r="U31">
        <v>29500</v>
      </c>
      <c r="V31">
        <v>6</v>
      </c>
      <c r="W31">
        <v>4.8</v>
      </c>
      <c r="X31" t="s">
        <v>388</v>
      </c>
      <c r="Y31" t="s">
        <v>589</v>
      </c>
      <c r="Z31" s="1">
        <v>45733</v>
      </c>
      <c r="AA31" s="1">
        <f>Table1[[#This Row],[Admission_Date]]+Table1[[#This Row],[Length_of_Stay]]</f>
        <v>45739</v>
      </c>
      <c r="AB31" t="str">
        <f t="shared" ca="1" si="1"/>
        <v>Semi Private</v>
      </c>
      <c r="AC31" t="str">
        <f ca="1">IF(AB31="General Ward","GW"&amp;TEXT(COUNTIF($AB$2:AB31,"General Ward"),"000"),IF(AB31="Semi Private","SP"&amp;TEXT(COUNTIF($AB$2:AB31,"Semi Private"),"000"),IF(AB31="Private Room","PR"&amp;TEXT(COUNTIF($AB$2:AB31,"Private Room"),"000"),IF(AB31="ICU","ICU"&amp;TEXT(COUNTIF($AB$2:AB31,"ICU"),"000"),"N/A"))))</f>
        <v>SP003</v>
      </c>
      <c r="AD31" t="str">
        <f t="shared" ca="1" si="4"/>
        <v>Available</v>
      </c>
      <c r="AE31" s="2" t="str">
        <f t="shared" ca="1" si="2"/>
        <v>Scheduled</v>
      </c>
    </row>
    <row r="32" spans="1:31" x14ac:dyDescent="0.3">
      <c r="A32" t="s">
        <v>129</v>
      </c>
      <c r="B32" t="s">
        <v>130</v>
      </c>
      <c r="C32" t="s">
        <v>32</v>
      </c>
      <c r="D32">
        <v>23</v>
      </c>
      <c r="E32" t="str" cm="1">
        <f t="array" aca="1" ref="E32" ca="1">_xlfn.IFS(
H32="Cardiology",CHOOSE(RANDBETWEEN(1,6),"Hypertension","Arrhythmia","Angina","Heart Failure","Chest Pain","Coronary Artery Disease"),
H32="General Medicine",CHOOSE(RANDBETWEEN(1,6),"Viral Fever","Influenza","Diabetes","Gastritis","Typhoid","Food Poisoning"),
H32="Orthopedics",CHOOSE(RANDBETWEEN(1,6),"Fracture","Arthritis","Back Pain","Joint Pain","Knee Injury","Shoulder Dislocation"),
H32="Neurology",CHOOSE(RANDBETWEEN(1,6),"Migraine","Stroke","Epilepsy","Vertigo","Parkinson's Disease","Peripheral Neuropathy"),
H32="Pediatrics",CHOOSE(RANDBETWEEN(1,6),"Common Cold","Asthma","Pneumonia","Ear Infection","Viral Fever","Stomach Infection"),
H32="Dermatology",CHOOSE(RANDBETWEEN(1,6),"Acne","Eczema","Psoriasis","Fungal Infection","Heat Rash","Contact Dermatitis"),
H32="ENT",CHOOSE(RANDBETWEEN(1,6),"Sinusitis","Tonsillitis","Ear Infection","Throat Infection","Allergic Rhinitis","Otitis Media"),
H32="Gynecology",CHOOSE(RANDBETWEEN(1,6),"PCOS","UTI","Pregnancy Checkup","Menstrual Disorder","Ovarian Cyst","Endometriosis")
)</f>
        <v>Throat Infection</v>
      </c>
      <c r="F32" t="str" cm="1">
        <f t="array" ref="F32">_xlfn.SWITCH(K32,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32" t="s">
        <v>33</v>
      </c>
      <c r="H32" t="s">
        <v>64</v>
      </c>
      <c r="I32" t="s">
        <v>78</v>
      </c>
      <c r="J32" s="1">
        <v>45736</v>
      </c>
      <c r="K32" t="str">
        <f t="shared" si="3"/>
        <v>March</v>
      </c>
      <c r="L32">
        <f t="shared" si="0"/>
        <v>3</v>
      </c>
      <c r="M32" t="s">
        <v>26</v>
      </c>
      <c r="N32" t="s">
        <v>27</v>
      </c>
      <c r="O32">
        <v>900</v>
      </c>
      <c r="P32">
        <v>700</v>
      </c>
      <c r="Q32">
        <v>500</v>
      </c>
      <c r="R32">
        <v>0</v>
      </c>
      <c r="S32" t="s">
        <v>28</v>
      </c>
      <c r="T32" t="s">
        <v>50</v>
      </c>
      <c r="U32">
        <v>2100</v>
      </c>
      <c r="V32">
        <v>0</v>
      </c>
      <c r="W32">
        <v>4.5999999999999996</v>
      </c>
      <c r="X32" t="s">
        <v>389</v>
      </c>
      <c r="Y32" t="s">
        <v>590</v>
      </c>
      <c r="Z32" s="1">
        <v>45736</v>
      </c>
      <c r="AA32" s="1">
        <f>Table1[[#This Row],[Admission_Date]]+Table1[[#This Row],[Length_of_Stay]]</f>
        <v>45736</v>
      </c>
      <c r="AB32" t="str">
        <f t="shared" ca="1" si="1"/>
        <v>N/A</v>
      </c>
      <c r="AC32" t="str">
        <f ca="1">IF(AB32="General Ward","GW"&amp;TEXT(COUNTIF($AB$2:AB32,"General Ward"),"000"),IF(AB32="Semi Private","SP"&amp;TEXT(COUNTIF($AB$2:AB32,"Semi Private"),"000"),IF(AB32="Private Room","PR"&amp;TEXT(COUNTIF($AB$2:AB32,"Private Room"),"000"),IF(AB32="ICU","ICU"&amp;TEXT(COUNTIF($AB$2:AB32,"ICU"),"000"),"N/A"))))</f>
        <v>N/A</v>
      </c>
      <c r="AD32" t="str">
        <f t="shared" ca="1" si="4"/>
        <v>Not Admitted</v>
      </c>
      <c r="AE32" s="2" t="str">
        <f t="shared" ca="1" si="2"/>
        <v>N/A</v>
      </c>
    </row>
    <row r="33" spans="1:31" x14ac:dyDescent="0.3">
      <c r="A33" t="s">
        <v>131</v>
      </c>
      <c r="B33" t="s">
        <v>132</v>
      </c>
      <c r="C33" t="s">
        <v>22</v>
      </c>
      <c r="D33">
        <v>39</v>
      </c>
      <c r="E33" t="str" cm="1">
        <f t="array" aca="1" ref="E33" ca="1">_xlfn.IFS(
H33="Cardiology",CHOOSE(RANDBETWEEN(1,6),"Hypertension","Arrhythmia","Angina","Heart Failure","Chest Pain","Coronary Artery Disease"),
H33="General Medicine",CHOOSE(RANDBETWEEN(1,6),"Viral Fever","Influenza","Diabetes","Gastritis","Typhoid","Food Poisoning"),
H33="Orthopedics",CHOOSE(RANDBETWEEN(1,6),"Fracture","Arthritis","Back Pain","Joint Pain","Knee Injury","Shoulder Dislocation"),
H33="Neurology",CHOOSE(RANDBETWEEN(1,6),"Migraine","Stroke","Epilepsy","Vertigo","Parkinson's Disease","Peripheral Neuropathy"),
H33="Pediatrics",CHOOSE(RANDBETWEEN(1,6),"Common Cold","Asthma","Pneumonia","Ear Infection","Viral Fever","Stomach Infection"),
H33="Dermatology",CHOOSE(RANDBETWEEN(1,6),"Acne","Eczema","Psoriasis","Fungal Infection","Heat Rash","Contact Dermatitis"),
H33="ENT",CHOOSE(RANDBETWEEN(1,6),"Sinusitis","Tonsillitis","Ear Infection","Throat Infection","Allergic Rhinitis","Otitis Media"),
H33="Gynecology",CHOOSE(RANDBETWEEN(1,6),"PCOS","UTI","Pregnancy Checkup","Menstrual Disorder","Ovarian Cyst","Endometriosis")
)</f>
        <v>Viral Fever</v>
      </c>
      <c r="F33" t="str" cm="1">
        <f t="array" ref="F33">_xlfn.SWITCH(K33,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33" t="s">
        <v>40</v>
      </c>
      <c r="H33" t="s">
        <v>73</v>
      </c>
      <c r="I33" t="s">
        <v>90</v>
      </c>
      <c r="J33" s="1">
        <v>45738</v>
      </c>
      <c r="K33" t="str">
        <f t="shared" si="3"/>
        <v>March</v>
      </c>
      <c r="L33">
        <f t="shared" si="0"/>
        <v>3</v>
      </c>
      <c r="M33" t="s">
        <v>26</v>
      </c>
      <c r="N33" t="s">
        <v>27</v>
      </c>
      <c r="O33">
        <v>800</v>
      </c>
      <c r="P33">
        <v>1200</v>
      </c>
      <c r="Q33">
        <v>700</v>
      </c>
      <c r="R33">
        <v>0</v>
      </c>
      <c r="S33" t="s">
        <v>28</v>
      </c>
      <c r="T33" t="s">
        <v>29</v>
      </c>
      <c r="U33">
        <v>2700</v>
      </c>
      <c r="V33">
        <v>0</v>
      </c>
      <c r="W33">
        <v>4.4000000000000004</v>
      </c>
      <c r="X33" t="s">
        <v>390</v>
      </c>
      <c r="Y33" t="s">
        <v>591</v>
      </c>
      <c r="Z33" s="1">
        <v>45738</v>
      </c>
      <c r="AA33" s="1">
        <f>Table1[[#This Row],[Admission_Date]]+Table1[[#This Row],[Length_of_Stay]]</f>
        <v>45738</v>
      </c>
      <c r="AB33" t="str">
        <f t="shared" ca="1" si="1"/>
        <v>N/A</v>
      </c>
      <c r="AC33" t="str">
        <f ca="1">IF(AB33="General Ward","GW"&amp;TEXT(COUNTIF($AB$2:AB33,"General Ward"),"000"),IF(AB33="Semi Private","SP"&amp;TEXT(COUNTIF($AB$2:AB33,"Semi Private"),"000"),IF(AB33="Private Room","PR"&amp;TEXT(COUNTIF($AB$2:AB33,"Private Room"),"000"),IF(AB33="ICU","ICU"&amp;TEXT(COUNTIF($AB$2:AB33,"ICU"),"000"),"N/A"))))</f>
        <v>N/A</v>
      </c>
      <c r="AD33" t="str">
        <f t="shared" ca="1" si="4"/>
        <v>Not Admitted</v>
      </c>
      <c r="AE33" s="2" t="str">
        <f t="shared" ca="1" si="2"/>
        <v>N/A</v>
      </c>
    </row>
    <row r="34" spans="1:31" x14ac:dyDescent="0.3">
      <c r="A34" t="s">
        <v>133</v>
      </c>
      <c r="B34" t="s">
        <v>134</v>
      </c>
      <c r="C34" t="s">
        <v>32</v>
      </c>
      <c r="D34">
        <v>45</v>
      </c>
      <c r="E34" t="str" cm="1">
        <f t="array" aca="1" ref="E34" ca="1">_xlfn.IFS(
H34="Cardiology",CHOOSE(RANDBETWEEN(1,6),"Hypertension","Arrhythmia","Angina","Heart Failure","Chest Pain","Coronary Artery Disease"),
H34="General Medicine",CHOOSE(RANDBETWEEN(1,6),"Viral Fever","Influenza","Diabetes","Gastritis","Typhoid","Food Poisoning"),
H34="Orthopedics",CHOOSE(RANDBETWEEN(1,6),"Fracture","Arthritis","Back Pain","Joint Pain","Knee Injury","Shoulder Dislocation"),
H34="Neurology",CHOOSE(RANDBETWEEN(1,6),"Migraine","Stroke","Epilepsy","Vertigo","Parkinson's Disease","Peripheral Neuropathy"),
H34="Pediatrics",CHOOSE(RANDBETWEEN(1,6),"Common Cold","Asthma","Pneumonia","Ear Infection","Viral Fever","Stomach Infection"),
H34="Dermatology",CHOOSE(RANDBETWEEN(1,6),"Acne","Eczema","Psoriasis","Fungal Infection","Heat Rash","Contact Dermatitis"),
H34="ENT",CHOOSE(RANDBETWEEN(1,6),"Sinusitis","Tonsillitis","Ear Infection","Throat Infection","Allergic Rhinitis","Otitis Media"),
H34="Gynecology",CHOOSE(RANDBETWEEN(1,6),"PCOS","UTI","Pregnancy Checkup","Menstrual Disorder","Ovarian Cyst","Endometriosis")
)</f>
        <v>Heart Failure</v>
      </c>
      <c r="F34" t="str" cm="1">
        <f t="array" ref="F34">_xlfn.SWITCH(K34,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34" t="s">
        <v>53</v>
      </c>
      <c r="H34" t="s">
        <v>24</v>
      </c>
      <c r="I34" t="s">
        <v>69</v>
      </c>
      <c r="J34" s="1">
        <v>45740</v>
      </c>
      <c r="K34" t="str">
        <f t="shared" si="3"/>
        <v>March</v>
      </c>
      <c r="L34">
        <f t="shared" ref="L34:L65" si="5">MONTH(J34)</f>
        <v>3</v>
      </c>
      <c r="M34" t="s">
        <v>26</v>
      </c>
      <c r="N34" t="s">
        <v>36</v>
      </c>
      <c r="O34">
        <v>1800</v>
      </c>
      <c r="P34">
        <v>6000</v>
      </c>
      <c r="Q34">
        <v>3500</v>
      </c>
      <c r="R34">
        <v>22000</v>
      </c>
      <c r="S34" t="s">
        <v>37</v>
      </c>
      <c r="T34" t="s">
        <v>15</v>
      </c>
      <c r="U34">
        <v>33300</v>
      </c>
      <c r="V34">
        <v>5</v>
      </c>
      <c r="W34">
        <v>4.9000000000000004</v>
      </c>
      <c r="X34" t="s">
        <v>391</v>
      </c>
      <c r="Y34" t="s">
        <v>592</v>
      </c>
      <c r="Z34" s="1">
        <v>45740</v>
      </c>
      <c r="AA34" s="1">
        <f>Table1[[#This Row],[Admission_Date]]+Table1[[#This Row],[Length_of_Stay]]</f>
        <v>45745</v>
      </c>
      <c r="AB34" t="str">
        <f t="shared" ref="AB34:AB65" ca="1" si="6">IF(N34="OP","N/A",CHOOSE(RANDBETWEEN(1,4),"General Ward","Semi Private","Private Room","ICU"))</f>
        <v>Semi Private</v>
      </c>
      <c r="AC34" t="str">
        <f ca="1">IF(AB34="General Ward","GW"&amp;TEXT(COUNTIF($AB$2:AB34,"General Ward"),"000"),IF(AB34="Semi Private","SP"&amp;TEXT(COUNTIF($AB$2:AB34,"Semi Private"),"000"),IF(AB34="Private Room","PR"&amp;TEXT(COUNTIF($AB$2:AB34,"Private Room"),"000"),IF(AB34="ICU","ICU"&amp;TEXT(COUNTIF($AB$2:AB34,"ICU"),"000"),"N/A"))))</f>
        <v>SP004</v>
      </c>
      <c r="AD34" t="str">
        <f t="shared" ca="1" si="4"/>
        <v>Occupied</v>
      </c>
      <c r="AE34" s="2" t="str">
        <f t="shared" ref="AE34:AE65" ca="1" si="7">IF(AB34="N/A","N/A",
IF(RAND()&lt;0.2,"Emergency",
IF(RAND()&lt;0.5,"Scheduled",
IF(RAND()&lt;0.8,"Walk-in","Referral"))))</f>
        <v>Walk-in</v>
      </c>
    </row>
    <row r="35" spans="1:31" x14ac:dyDescent="0.3">
      <c r="A35" t="s">
        <v>135</v>
      </c>
      <c r="B35" t="s">
        <v>136</v>
      </c>
      <c r="C35" t="s">
        <v>22</v>
      </c>
      <c r="D35">
        <v>17</v>
      </c>
      <c r="E35" t="str" cm="1">
        <f t="array" aca="1" ref="E35" ca="1">_xlfn.IFS(
H35="Cardiology",CHOOSE(RANDBETWEEN(1,6),"Hypertension","Arrhythmia","Angina","Heart Failure","Chest Pain","Coronary Artery Disease"),
H35="General Medicine",CHOOSE(RANDBETWEEN(1,6),"Viral Fever","Influenza","Diabetes","Gastritis","Typhoid","Food Poisoning"),
H35="Orthopedics",CHOOSE(RANDBETWEEN(1,6),"Fracture","Arthritis","Back Pain","Joint Pain","Knee Injury","Shoulder Dislocation"),
H35="Neurology",CHOOSE(RANDBETWEEN(1,6),"Migraine","Stroke","Epilepsy","Vertigo","Parkinson's Disease","Peripheral Neuropathy"),
H35="Pediatrics",CHOOSE(RANDBETWEEN(1,6),"Common Cold","Asthma","Pneumonia","Ear Infection","Viral Fever","Stomach Infection"),
H35="Dermatology",CHOOSE(RANDBETWEEN(1,6),"Acne","Eczema","Psoriasis","Fungal Infection","Heat Rash","Contact Dermatitis"),
H35="ENT",CHOOSE(RANDBETWEEN(1,6),"Sinusitis","Tonsillitis","Ear Infection","Throat Infection","Allergic Rhinitis","Otitis Media"),
H35="Gynecology",CHOOSE(RANDBETWEEN(1,6),"PCOS","UTI","Pregnancy Checkup","Menstrual Disorder","Ovarian Cyst","Endometriosis")
)</f>
        <v>Ear Infection</v>
      </c>
      <c r="F35" t="str" cm="1">
        <f t="array" ref="F35">_xlfn.SWITCH(K35,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35" t="s">
        <v>47</v>
      </c>
      <c r="H35" t="s">
        <v>48</v>
      </c>
      <c r="I35" t="s">
        <v>49</v>
      </c>
      <c r="J35" s="1">
        <v>45741</v>
      </c>
      <c r="K35" t="str">
        <f t="shared" si="3"/>
        <v>March</v>
      </c>
      <c r="L35">
        <f t="shared" si="5"/>
        <v>3</v>
      </c>
      <c r="M35" t="s">
        <v>26</v>
      </c>
      <c r="N35" t="s">
        <v>27</v>
      </c>
      <c r="O35">
        <v>700</v>
      </c>
      <c r="P35">
        <v>400</v>
      </c>
      <c r="Q35">
        <v>300</v>
      </c>
      <c r="R35">
        <v>0</v>
      </c>
      <c r="S35" t="s">
        <v>28</v>
      </c>
      <c r="T35" t="s">
        <v>44</v>
      </c>
      <c r="U35">
        <v>1400</v>
      </c>
      <c r="V35">
        <v>0</v>
      </c>
      <c r="W35">
        <v>4.7</v>
      </c>
      <c r="X35" t="s">
        <v>392</v>
      </c>
      <c r="Y35" t="s">
        <v>593</v>
      </c>
      <c r="Z35" s="1">
        <v>45741</v>
      </c>
      <c r="AA35" s="1">
        <f>Table1[[#This Row],[Admission_Date]]+Table1[[#This Row],[Length_of_Stay]]</f>
        <v>45741</v>
      </c>
      <c r="AB35" t="str">
        <f t="shared" ca="1" si="6"/>
        <v>N/A</v>
      </c>
      <c r="AC35" t="str">
        <f ca="1">IF(AB35="General Ward","GW"&amp;TEXT(COUNTIF($AB$2:AB35,"General Ward"),"000"),IF(AB35="Semi Private","SP"&amp;TEXT(COUNTIF($AB$2:AB35,"Semi Private"),"000"),IF(AB35="Private Room","PR"&amp;TEXT(COUNTIF($AB$2:AB35,"Private Room"),"000"),IF(AB35="ICU","ICU"&amp;TEXT(COUNTIF($AB$2:AB35,"ICU"),"000"),"N/A"))))</f>
        <v>N/A</v>
      </c>
      <c r="AD35" t="str">
        <f t="shared" ca="1" si="4"/>
        <v>Not Admitted</v>
      </c>
      <c r="AE35" s="2" t="str">
        <f t="shared" ca="1" si="7"/>
        <v>N/A</v>
      </c>
    </row>
    <row r="36" spans="1:31" x14ac:dyDescent="0.3">
      <c r="A36" t="s">
        <v>137</v>
      </c>
      <c r="B36" t="s">
        <v>138</v>
      </c>
      <c r="C36" t="s">
        <v>32</v>
      </c>
      <c r="D36">
        <v>31</v>
      </c>
      <c r="E36" t="str" cm="1">
        <f t="array" aca="1" ref="E36" ca="1">_xlfn.IFS(
H36="Cardiology",CHOOSE(RANDBETWEEN(1,6),"Hypertension","Arrhythmia","Angina","Heart Failure","Chest Pain","Coronary Artery Disease"),
H36="General Medicine",CHOOSE(RANDBETWEEN(1,6),"Viral Fever","Influenza","Diabetes","Gastritis","Typhoid","Food Poisoning"),
H36="Orthopedics",CHOOSE(RANDBETWEEN(1,6),"Fracture","Arthritis","Back Pain","Joint Pain","Knee Injury","Shoulder Dislocation"),
H36="Neurology",CHOOSE(RANDBETWEEN(1,6),"Migraine","Stroke","Epilepsy","Vertigo","Parkinson's Disease","Peripheral Neuropathy"),
H36="Pediatrics",CHOOSE(RANDBETWEEN(1,6),"Common Cold","Asthma","Pneumonia","Ear Infection","Viral Fever","Stomach Infection"),
H36="Dermatology",CHOOSE(RANDBETWEEN(1,6),"Acne","Eczema","Psoriasis","Fungal Infection","Heat Rash","Contact Dermatitis"),
H36="ENT",CHOOSE(RANDBETWEEN(1,6),"Sinusitis","Tonsillitis","Ear Infection","Throat Infection","Allergic Rhinitis","Otitis Media"),
H36="Gynecology",CHOOSE(RANDBETWEEN(1,6),"PCOS","UTI","Pregnancy Checkup","Menstrual Disorder","Ovarian Cyst","Endometriosis")
)</f>
        <v>Eczema</v>
      </c>
      <c r="F36" t="str" cm="1">
        <f t="array" ref="F36">_xlfn.SWITCH(K36,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36" t="s">
        <v>68</v>
      </c>
      <c r="H36" t="s">
        <v>58</v>
      </c>
      <c r="I36" t="s">
        <v>84</v>
      </c>
      <c r="J36" s="1">
        <v>45743</v>
      </c>
      <c r="K36" t="str">
        <f t="shared" si="3"/>
        <v>March</v>
      </c>
      <c r="L36">
        <f t="shared" si="5"/>
        <v>3</v>
      </c>
      <c r="M36" t="s">
        <v>43</v>
      </c>
      <c r="N36" t="s">
        <v>27</v>
      </c>
      <c r="O36">
        <v>900</v>
      </c>
      <c r="P36">
        <v>500</v>
      </c>
      <c r="Q36">
        <v>600</v>
      </c>
      <c r="R36">
        <v>0</v>
      </c>
      <c r="S36" t="s">
        <v>28</v>
      </c>
      <c r="T36" t="s">
        <v>29</v>
      </c>
      <c r="U36">
        <v>2000</v>
      </c>
      <c r="V36">
        <v>0</v>
      </c>
      <c r="W36">
        <v>4.2</v>
      </c>
      <c r="X36" t="s">
        <v>393</v>
      </c>
      <c r="Y36" t="s">
        <v>594</v>
      </c>
      <c r="Z36" s="1">
        <v>45743</v>
      </c>
      <c r="AA36" s="1">
        <f>Table1[[#This Row],[Admission_Date]]+Table1[[#This Row],[Length_of_Stay]]</f>
        <v>45743</v>
      </c>
      <c r="AB36" t="str">
        <f t="shared" ca="1" si="6"/>
        <v>N/A</v>
      </c>
      <c r="AC36" t="str">
        <f ca="1">IF(AB36="General Ward","GW"&amp;TEXT(COUNTIF($AB$2:AB36,"General Ward"),"000"),IF(AB36="Semi Private","SP"&amp;TEXT(COUNTIF($AB$2:AB36,"Semi Private"),"000"),IF(AB36="Private Room","PR"&amp;TEXT(COUNTIF($AB$2:AB36,"Private Room"),"000"),IF(AB36="ICU","ICU"&amp;TEXT(COUNTIF($AB$2:AB36,"ICU"),"000"),"N/A"))))</f>
        <v>N/A</v>
      </c>
      <c r="AD36" t="str">
        <f t="shared" ca="1" si="4"/>
        <v>Not Admitted</v>
      </c>
      <c r="AE36" s="2" t="str">
        <f t="shared" ca="1" si="7"/>
        <v>N/A</v>
      </c>
    </row>
    <row r="37" spans="1:31" x14ac:dyDescent="0.3">
      <c r="A37" t="s">
        <v>139</v>
      </c>
      <c r="B37" t="s">
        <v>140</v>
      </c>
      <c r="C37" t="s">
        <v>22</v>
      </c>
      <c r="D37">
        <v>59</v>
      </c>
      <c r="E37" t="str" cm="1">
        <f t="array" aca="1" ref="E37" ca="1">_xlfn.IFS(
H37="Cardiology",CHOOSE(RANDBETWEEN(1,6),"Hypertension","Arrhythmia","Angina","Heart Failure","Chest Pain","Coronary Artery Disease"),
H37="General Medicine",CHOOSE(RANDBETWEEN(1,6),"Viral Fever","Influenza","Diabetes","Gastritis","Typhoid","Food Poisoning"),
H37="Orthopedics",CHOOSE(RANDBETWEEN(1,6),"Fracture","Arthritis","Back Pain","Joint Pain","Knee Injury","Shoulder Dislocation"),
H37="Neurology",CHOOSE(RANDBETWEEN(1,6),"Migraine","Stroke","Epilepsy","Vertigo","Parkinson's Disease","Peripheral Neuropathy"),
H37="Pediatrics",CHOOSE(RANDBETWEEN(1,6),"Common Cold","Asthma","Pneumonia","Ear Infection","Viral Fever","Stomach Infection"),
H37="Dermatology",CHOOSE(RANDBETWEEN(1,6),"Acne","Eczema","Psoriasis","Fungal Infection","Heat Rash","Contact Dermatitis"),
H37="ENT",CHOOSE(RANDBETWEEN(1,6),"Sinusitis","Tonsillitis","Ear Infection","Throat Infection","Allergic Rhinitis","Otitis Media"),
H37="Gynecology",CHOOSE(RANDBETWEEN(1,6),"PCOS","UTI","Pregnancy Checkup","Menstrual Disorder","Ovarian Cyst","Endometriosis")
)</f>
        <v>Peripheral Neuropathy</v>
      </c>
      <c r="F37" t="str" cm="1">
        <f t="array" ref="F37">_xlfn.SWITCH(K37,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37" t="s">
        <v>63</v>
      </c>
      <c r="H37" t="s">
        <v>54</v>
      </c>
      <c r="I37" t="s">
        <v>55</v>
      </c>
      <c r="J37" s="1">
        <v>45744</v>
      </c>
      <c r="K37" t="str">
        <f t="shared" si="3"/>
        <v>March</v>
      </c>
      <c r="L37">
        <f t="shared" si="5"/>
        <v>3</v>
      </c>
      <c r="M37" t="s">
        <v>26</v>
      </c>
      <c r="N37" t="s">
        <v>36</v>
      </c>
      <c r="O37">
        <v>1900</v>
      </c>
      <c r="P37">
        <v>8500</v>
      </c>
      <c r="Q37">
        <v>4000</v>
      </c>
      <c r="R37">
        <v>24000</v>
      </c>
      <c r="S37" t="s">
        <v>37</v>
      </c>
      <c r="T37" t="s">
        <v>15</v>
      </c>
      <c r="U37">
        <v>38400</v>
      </c>
      <c r="V37">
        <v>6</v>
      </c>
      <c r="W37">
        <v>4.9000000000000004</v>
      </c>
      <c r="X37" t="s">
        <v>394</v>
      </c>
      <c r="Y37" t="s">
        <v>595</v>
      </c>
      <c r="Z37" s="1">
        <v>45744</v>
      </c>
      <c r="AA37" s="1">
        <f>Table1[[#This Row],[Admission_Date]]+Table1[[#This Row],[Length_of_Stay]]</f>
        <v>45750</v>
      </c>
      <c r="AB37" t="str">
        <f t="shared" ca="1" si="6"/>
        <v>Semi Private</v>
      </c>
      <c r="AC37" t="str">
        <f ca="1">IF(AB37="General Ward","GW"&amp;TEXT(COUNTIF($AB$2:AB37,"General Ward"),"000"),IF(AB37="Semi Private","SP"&amp;TEXT(COUNTIF($AB$2:AB37,"Semi Private"),"000"),IF(AB37="Private Room","PR"&amp;TEXT(COUNTIF($AB$2:AB37,"Private Room"),"000"),IF(AB37="ICU","ICU"&amp;TEXT(COUNTIF($AB$2:AB37,"ICU"),"000"),"N/A"))))</f>
        <v>SP005</v>
      </c>
      <c r="AD37" t="str">
        <f t="shared" ca="1" si="4"/>
        <v>Occupied</v>
      </c>
      <c r="AE37" s="2" t="str">
        <f t="shared" ca="1" si="7"/>
        <v>Scheduled</v>
      </c>
    </row>
    <row r="38" spans="1:31" x14ac:dyDescent="0.3">
      <c r="A38" t="s">
        <v>141</v>
      </c>
      <c r="B38" t="s">
        <v>142</v>
      </c>
      <c r="C38" t="s">
        <v>32</v>
      </c>
      <c r="D38">
        <v>27</v>
      </c>
      <c r="E38" t="str" cm="1">
        <f t="array" aca="1" ref="E38" ca="1">_xlfn.IFS(
H38="Cardiology",CHOOSE(RANDBETWEEN(1,6),"Hypertension","Arrhythmia","Angina","Heart Failure","Chest Pain","Coronary Artery Disease"),
H38="General Medicine",CHOOSE(RANDBETWEEN(1,6),"Viral Fever","Influenza","Diabetes","Gastritis","Typhoid","Food Poisoning"),
H38="Orthopedics",CHOOSE(RANDBETWEEN(1,6),"Fracture","Arthritis","Back Pain","Joint Pain","Knee Injury","Shoulder Dislocation"),
H38="Neurology",CHOOSE(RANDBETWEEN(1,6),"Migraine","Stroke","Epilepsy","Vertigo","Parkinson's Disease","Peripheral Neuropathy"),
H38="Pediatrics",CHOOSE(RANDBETWEEN(1,6),"Common Cold","Asthma","Pneumonia","Ear Infection","Viral Fever","Stomach Infection"),
H38="Dermatology",CHOOSE(RANDBETWEEN(1,6),"Acne","Eczema","Psoriasis","Fungal Infection","Heat Rash","Contact Dermatitis"),
H38="ENT",CHOOSE(RANDBETWEEN(1,6),"Sinusitis","Tonsillitis","Ear Infection","Throat Infection","Allergic Rhinitis","Otitis Media"),
H38="Gynecology",CHOOSE(RANDBETWEEN(1,6),"PCOS","UTI","Pregnancy Checkup","Menstrual Disorder","Ovarian Cyst","Endometriosis")
)</f>
        <v>Endometriosis</v>
      </c>
      <c r="F38" t="str" cm="1">
        <f t="array" ref="F38">_xlfn.SWITCH(K38,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38" t="s">
        <v>72</v>
      </c>
      <c r="H38" t="s">
        <v>34</v>
      </c>
      <c r="I38" t="s">
        <v>35</v>
      </c>
      <c r="J38" s="1">
        <v>45745</v>
      </c>
      <c r="K38" t="str">
        <f t="shared" si="3"/>
        <v>March</v>
      </c>
      <c r="L38">
        <f t="shared" si="5"/>
        <v>3</v>
      </c>
      <c r="M38" t="s">
        <v>26</v>
      </c>
      <c r="N38" t="s">
        <v>27</v>
      </c>
      <c r="O38">
        <v>1200</v>
      </c>
      <c r="P38">
        <v>900</v>
      </c>
      <c r="Q38">
        <v>700</v>
      </c>
      <c r="R38">
        <v>0</v>
      </c>
      <c r="S38" t="s">
        <v>28</v>
      </c>
      <c r="T38" t="s">
        <v>50</v>
      </c>
      <c r="U38">
        <v>2800</v>
      </c>
      <c r="V38">
        <v>0</v>
      </c>
      <c r="W38">
        <v>4.7</v>
      </c>
      <c r="X38" t="s">
        <v>395</v>
      </c>
      <c r="Y38" t="s">
        <v>596</v>
      </c>
      <c r="Z38" s="1">
        <v>45745</v>
      </c>
      <c r="AA38" s="1">
        <f>Table1[[#This Row],[Admission_Date]]+Table1[[#This Row],[Length_of_Stay]]</f>
        <v>45745</v>
      </c>
      <c r="AB38" t="str">
        <f t="shared" ca="1" si="6"/>
        <v>N/A</v>
      </c>
      <c r="AC38" t="str">
        <f ca="1">IF(AB38="General Ward","GW"&amp;TEXT(COUNTIF($AB$2:AB38,"General Ward"),"000"),IF(AB38="Semi Private","SP"&amp;TEXT(COUNTIF($AB$2:AB38,"Semi Private"),"000"),IF(AB38="Private Room","PR"&amp;TEXT(COUNTIF($AB$2:AB38,"Private Room"),"000"),IF(AB38="ICU","ICU"&amp;TEXT(COUNTIF($AB$2:AB38,"ICU"),"000"),"N/A"))))</f>
        <v>N/A</v>
      </c>
      <c r="AD38" t="str">
        <f t="shared" ca="1" si="4"/>
        <v>Not Admitted</v>
      </c>
      <c r="AE38" s="2" t="str">
        <f t="shared" ca="1" si="7"/>
        <v>N/A</v>
      </c>
    </row>
    <row r="39" spans="1:31" x14ac:dyDescent="0.3">
      <c r="A39" t="s">
        <v>143</v>
      </c>
      <c r="B39" t="s">
        <v>144</v>
      </c>
      <c r="C39" t="s">
        <v>22</v>
      </c>
      <c r="D39">
        <v>43</v>
      </c>
      <c r="E39" t="str" cm="1">
        <f t="array" aca="1" ref="E39" ca="1">_xlfn.IFS(
H39="Cardiology",CHOOSE(RANDBETWEEN(1,6),"Hypertension","Arrhythmia","Angina","Heart Failure","Chest Pain","Coronary Artery Disease"),
H39="General Medicine",CHOOSE(RANDBETWEEN(1,6),"Viral Fever","Influenza","Diabetes","Gastritis","Typhoid","Food Poisoning"),
H39="Orthopedics",CHOOSE(RANDBETWEEN(1,6),"Fracture","Arthritis","Back Pain","Joint Pain","Knee Injury","Shoulder Dislocation"),
H39="Neurology",CHOOSE(RANDBETWEEN(1,6),"Migraine","Stroke","Epilepsy","Vertigo","Parkinson's Disease","Peripheral Neuropathy"),
H39="Pediatrics",CHOOSE(RANDBETWEEN(1,6),"Common Cold","Asthma","Pneumonia","Ear Infection","Viral Fever","Stomach Infection"),
H39="Dermatology",CHOOSE(RANDBETWEEN(1,6),"Acne","Eczema","Psoriasis","Fungal Infection","Heat Rash","Contact Dermatitis"),
H39="ENT",CHOOSE(RANDBETWEEN(1,6),"Sinusitis","Tonsillitis","Ear Infection","Throat Infection","Allergic Rhinitis","Otitis Media"),
H39="Gynecology",CHOOSE(RANDBETWEEN(1,6),"PCOS","UTI","Pregnancy Checkup","Menstrual Disorder","Ovarian Cyst","Endometriosis")
)</f>
        <v>Ear Infection</v>
      </c>
      <c r="F39" t="str" cm="1">
        <f t="array" ref="F39">_xlfn.SWITCH(K39,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39" t="s">
        <v>77</v>
      </c>
      <c r="H39" t="s">
        <v>64</v>
      </c>
      <c r="I39" t="s">
        <v>99</v>
      </c>
      <c r="J39" s="1">
        <v>45746</v>
      </c>
      <c r="K39" t="str">
        <f t="shared" si="3"/>
        <v>March</v>
      </c>
      <c r="L39">
        <f t="shared" si="5"/>
        <v>3</v>
      </c>
      <c r="M39" t="s">
        <v>26</v>
      </c>
      <c r="N39" t="s">
        <v>27</v>
      </c>
      <c r="O39">
        <v>1000</v>
      </c>
      <c r="P39">
        <v>1000</v>
      </c>
      <c r="Q39">
        <v>800</v>
      </c>
      <c r="R39">
        <v>0</v>
      </c>
      <c r="S39" t="s">
        <v>28</v>
      </c>
      <c r="T39" t="s">
        <v>44</v>
      </c>
      <c r="U39">
        <v>2800</v>
      </c>
      <c r="V39">
        <v>0</v>
      </c>
      <c r="W39">
        <v>4.5</v>
      </c>
      <c r="X39" t="s">
        <v>396</v>
      </c>
      <c r="Y39" t="s">
        <v>597</v>
      </c>
      <c r="Z39" s="1">
        <v>45746</v>
      </c>
      <c r="AA39" s="1">
        <f>Table1[[#This Row],[Admission_Date]]+Table1[[#This Row],[Length_of_Stay]]</f>
        <v>45746</v>
      </c>
      <c r="AB39" t="str">
        <f t="shared" ca="1" si="6"/>
        <v>N/A</v>
      </c>
      <c r="AC39" t="str">
        <f ca="1">IF(AB39="General Ward","GW"&amp;TEXT(COUNTIF($AB$2:AB39,"General Ward"),"000"),IF(AB39="Semi Private","SP"&amp;TEXT(COUNTIF($AB$2:AB39,"Semi Private"),"000"),IF(AB39="Private Room","PR"&amp;TEXT(COUNTIF($AB$2:AB39,"Private Room"),"000"),IF(AB39="ICU","ICU"&amp;TEXT(COUNTIF($AB$2:AB39,"ICU"),"000"),"N/A"))))</f>
        <v>N/A</v>
      </c>
      <c r="AD39" t="str">
        <f t="shared" ca="1" si="4"/>
        <v>Not Admitted</v>
      </c>
      <c r="AE39" s="2" t="str">
        <f t="shared" ca="1" si="7"/>
        <v>N/A</v>
      </c>
    </row>
    <row r="40" spans="1:31" x14ac:dyDescent="0.3">
      <c r="A40" t="s">
        <v>145</v>
      </c>
      <c r="B40" t="s">
        <v>146</v>
      </c>
      <c r="C40" t="s">
        <v>32</v>
      </c>
      <c r="D40">
        <v>36</v>
      </c>
      <c r="E40" t="str" cm="1">
        <f t="array" aca="1" ref="E40" ca="1">_xlfn.IFS(
H40="Cardiology",CHOOSE(RANDBETWEEN(1,6),"Hypertension","Arrhythmia","Angina","Heart Failure","Chest Pain","Coronary Artery Disease"),
H40="General Medicine",CHOOSE(RANDBETWEEN(1,6),"Viral Fever","Influenza","Diabetes","Gastritis","Typhoid","Food Poisoning"),
H40="Orthopedics",CHOOSE(RANDBETWEEN(1,6),"Fracture","Arthritis","Back Pain","Joint Pain","Knee Injury","Shoulder Dislocation"),
H40="Neurology",CHOOSE(RANDBETWEEN(1,6),"Migraine","Stroke","Epilepsy","Vertigo","Parkinson's Disease","Peripheral Neuropathy"),
H40="Pediatrics",CHOOSE(RANDBETWEEN(1,6),"Common Cold","Asthma","Pneumonia","Ear Infection","Viral Fever","Stomach Infection"),
H40="Dermatology",CHOOSE(RANDBETWEEN(1,6),"Acne","Eczema","Psoriasis","Fungal Infection","Heat Rash","Contact Dermatitis"),
H40="ENT",CHOOSE(RANDBETWEEN(1,6),"Sinusitis","Tonsillitis","Ear Infection","Throat Infection","Allergic Rhinitis","Otitis Media"),
H40="Gynecology",CHOOSE(RANDBETWEEN(1,6),"PCOS","UTI","Pregnancy Checkup","Menstrual Disorder","Ovarian Cyst","Endometriosis")
)</f>
        <v>Joint Pain</v>
      </c>
      <c r="F40" t="str" cm="1">
        <f t="array" ref="F40">_xlfn.SWITCH(K40,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40" t="s">
        <v>23</v>
      </c>
      <c r="H40" t="s">
        <v>41</v>
      </c>
      <c r="I40" t="s">
        <v>42</v>
      </c>
      <c r="J40" s="1">
        <v>45747</v>
      </c>
      <c r="K40" t="str">
        <f t="shared" si="3"/>
        <v>March</v>
      </c>
      <c r="L40">
        <f t="shared" si="5"/>
        <v>3</v>
      </c>
      <c r="M40" t="s">
        <v>26</v>
      </c>
      <c r="N40" t="s">
        <v>27</v>
      </c>
      <c r="O40">
        <v>1400</v>
      </c>
      <c r="P40">
        <v>1800</v>
      </c>
      <c r="Q40">
        <v>1000</v>
      </c>
      <c r="R40">
        <v>0</v>
      </c>
      <c r="S40" t="s">
        <v>28</v>
      </c>
      <c r="T40" t="s">
        <v>29</v>
      </c>
      <c r="U40">
        <v>4200</v>
      </c>
      <c r="V40">
        <v>0</v>
      </c>
      <c r="W40">
        <v>4.8</v>
      </c>
      <c r="X40" t="s">
        <v>397</v>
      </c>
      <c r="Y40" t="s">
        <v>598</v>
      </c>
      <c r="Z40" s="1">
        <v>45747</v>
      </c>
      <c r="AA40" s="1">
        <f>Table1[[#This Row],[Admission_Date]]+Table1[[#This Row],[Length_of_Stay]]</f>
        <v>45747</v>
      </c>
      <c r="AB40" t="str">
        <f t="shared" ca="1" si="6"/>
        <v>N/A</v>
      </c>
      <c r="AC40" t="str">
        <f ca="1">IF(AB40="General Ward","GW"&amp;TEXT(COUNTIF($AB$2:AB40,"General Ward"),"000"),IF(AB40="Semi Private","SP"&amp;TEXT(COUNTIF($AB$2:AB40,"Semi Private"),"000"),IF(AB40="Private Room","PR"&amp;TEXT(COUNTIF($AB$2:AB40,"Private Room"),"000"),IF(AB40="ICU","ICU"&amp;TEXT(COUNTIF($AB$2:AB40,"ICU"),"000"),"N/A"))))</f>
        <v>N/A</v>
      </c>
      <c r="AD40" t="str">
        <f t="shared" ca="1" si="4"/>
        <v>Not Admitted</v>
      </c>
      <c r="AE40" s="2" t="str">
        <f t="shared" ca="1" si="7"/>
        <v>N/A</v>
      </c>
    </row>
    <row r="41" spans="1:31" x14ac:dyDescent="0.3">
      <c r="A41" t="s">
        <v>147</v>
      </c>
      <c r="B41" t="s">
        <v>148</v>
      </c>
      <c r="C41" t="s">
        <v>22</v>
      </c>
      <c r="D41">
        <v>50</v>
      </c>
      <c r="E41" t="str" cm="1">
        <f t="array" aca="1" ref="E41" ca="1">_xlfn.IFS(
H41="Cardiology",CHOOSE(RANDBETWEEN(1,6),"Hypertension","Arrhythmia","Angina","Heart Failure","Chest Pain","Coronary Artery Disease"),
H41="General Medicine",CHOOSE(RANDBETWEEN(1,6),"Viral Fever","Influenza","Diabetes","Gastritis","Typhoid","Food Poisoning"),
H41="Orthopedics",CHOOSE(RANDBETWEEN(1,6),"Fracture","Arthritis","Back Pain","Joint Pain","Knee Injury","Shoulder Dislocation"),
H41="Neurology",CHOOSE(RANDBETWEEN(1,6),"Migraine","Stroke","Epilepsy","Vertigo","Parkinson's Disease","Peripheral Neuropathy"),
H41="Pediatrics",CHOOSE(RANDBETWEEN(1,6),"Common Cold","Asthma","Pneumonia","Ear Infection","Viral Fever","Stomach Infection"),
H41="Dermatology",CHOOSE(RANDBETWEEN(1,6),"Acne","Eczema","Psoriasis","Fungal Infection","Heat Rash","Contact Dermatitis"),
H41="ENT",CHOOSE(RANDBETWEEN(1,6),"Sinusitis","Tonsillitis","Ear Infection","Throat Infection","Allergic Rhinitis","Otitis Media"),
H41="Gynecology",CHOOSE(RANDBETWEEN(1,6),"PCOS","UTI","Pregnancy Checkup","Menstrual Disorder","Ovarian Cyst","Endometriosis")
)</f>
        <v>Coronary Artery Disease</v>
      </c>
      <c r="F41" t="str" cm="1">
        <f t="array" ref="F41">_xlfn.SWITCH(K41,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41" t="s">
        <v>33</v>
      </c>
      <c r="H41" t="s">
        <v>24</v>
      </c>
      <c r="I41" t="s">
        <v>25</v>
      </c>
      <c r="J41" s="1">
        <v>45749</v>
      </c>
      <c r="K41" t="str">
        <f t="shared" si="3"/>
        <v>April</v>
      </c>
      <c r="L41">
        <f t="shared" si="5"/>
        <v>4</v>
      </c>
      <c r="M41" t="s">
        <v>26</v>
      </c>
      <c r="N41" t="s">
        <v>36</v>
      </c>
      <c r="O41">
        <v>1800</v>
      </c>
      <c r="P41">
        <v>7000</v>
      </c>
      <c r="Q41">
        <v>3500</v>
      </c>
      <c r="R41">
        <v>21000</v>
      </c>
      <c r="S41" t="s">
        <v>37</v>
      </c>
      <c r="T41" t="s">
        <v>15</v>
      </c>
      <c r="U41">
        <v>33300</v>
      </c>
      <c r="V41">
        <v>5</v>
      </c>
      <c r="W41">
        <v>4.9000000000000004</v>
      </c>
      <c r="X41" t="s">
        <v>398</v>
      </c>
      <c r="Y41" t="s">
        <v>599</v>
      </c>
      <c r="Z41" s="1">
        <v>45749</v>
      </c>
      <c r="AA41" s="1">
        <f>Table1[[#This Row],[Admission_Date]]+Table1[[#This Row],[Length_of_Stay]]</f>
        <v>45754</v>
      </c>
      <c r="AB41" t="str">
        <f t="shared" ca="1" si="6"/>
        <v>Private Room</v>
      </c>
      <c r="AC41" t="str">
        <f ca="1">IF(AB41="General Ward","GW"&amp;TEXT(COUNTIF($AB$2:AB41,"General Ward"),"000"),IF(AB41="Semi Private","SP"&amp;TEXT(COUNTIF($AB$2:AB41,"Semi Private"),"000"),IF(AB41="Private Room","PR"&amp;TEXT(COUNTIF($AB$2:AB41,"Private Room"),"000"),IF(AB41="ICU","ICU"&amp;TEXT(COUNTIF($AB$2:AB41,"ICU"),"000"),"N/A"))))</f>
        <v>PR005</v>
      </c>
      <c r="AD41" t="str">
        <f t="shared" ca="1" si="4"/>
        <v>Occupied</v>
      </c>
      <c r="AE41" s="2" t="str">
        <f t="shared" ca="1" si="7"/>
        <v>Emergency</v>
      </c>
    </row>
    <row r="42" spans="1:31" x14ac:dyDescent="0.3">
      <c r="A42" t="s">
        <v>149</v>
      </c>
      <c r="B42" t="s">
        <v>150</v>
      </c>
      <c r="C42" t="s">
        <v>32</v>
      </c>
      <c r="D42">
        <v>29</v>
      </c>
      <c r="E42" t="str" cm="1">
        <f t="array" aca="1" ref="E42" ca="1">_xlfn.IFS(
H42="Cardiology",CHOOSE(RANDBETWEEN(1,6),"Hypertension","Arrhythmia","Angina","Heart Failure","Chest Pain","Coronary Artery Disease"),
H42="General Medicine",CHOOSE(RANDBETWEEN(1,6),"Viral Fever","Influenza","Diabetes","Gastritis","Typhoid","Food Poisoning"),
H42="Orthopedics",CHOOSE(RANDBETWEEN(1,6),"Fracture","Arthritis","Back Pain","Joint Pain","Knee Injury","Shoulder Dislocation"),
H42="Neurology",CHOOSE(RANDBETWEEN(1,6),"Migraine","Stroke","Epilepsy","Vertigo","Parkinson's Disease","Peripheral Neuropathy"),
H42="Pediatrics",CHOOSE(RANDBETWEEN(1,6),"Common Cold","Asthma","Pneumonia","Ear Infection","Viral Fever","Stomach Infection"),
H42="Dermatology",CHOOSE(RANDBETWEEN(1,6),"Acne","Eczema","Psoriasis","Fungal Infection","Heat Rash","Contact Dermatitis"),
H42="ENT",CHOOSE(RANDBETWEEN(1,6),"Sinusitis","Tonsillitis","Ear Infection","Throat Infection","Allergic Rhinitis","Otitis Media"),
H42="Gynecology",CHOOSE(RANDBETWEEN(1,6),"PCOS","UTI","Pregnancy Checkup","Menstrual Disorder","Ovarian Cyst","Endometriosis")
)</f>
        <v>Psoriasis</v>
      </c>
      <c r="F42" t="str" cm="1">
        <f t="array" ref="F42">_xlfn.SWITCH(K42,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42" t="s">
        <v>47</v>
      </c>
      <c r="H42" t="s">
        <v>58</v>
      </c>
      <c r="I42" t="s">
        <v>151</v>
      </c>
      <c r="J42" s="1">
        <v>45751</v>
      </c>
      <c r="K42" t="str">
        <f t="shared" si="3"/>
        <v>April</v>
      </c>
      <c r="L42">
        <f t="shared" si="5"/>
        <v>4</v>
      </c>
      <c r="M42" t="s">
        <v>26</v>
      </c>
      <c r="N42" t="s">
        <v>27</v>
      </c>
      <c r="O42">
        <v>1000</v>
      </c>
      <c r="P42">
        <v>800</v>
      </c>
      <c r="Q42">
        <v>700</v>
      </c>
      <c r="R42">
        <v>0</v>
      </c>
      <c r="S42" t="s">
        <v>28</v>
      </c>
      <c r="T42" t="s">
        <v>50</v>
      </c>
      <c r="U42">
        <v>2500</v>
      </c>
      <c r="V42">
        <v>0</v>
      </c>
      <c r="W42">
        <v>4.7</v>
      </c>
      <c r="X42" t="s">
        <v>399</v>
      </c>
      <c r="Y42" t="s">
        <v>600</v>
      </c>
      <c r="Z42" s="1">
        <v>45751</v>
      </c>
      <c r="AA42" s="1">
        <f>Table1[[#This Row],[Admission_Date]]+Table1[[#This Row],[Length_of_Stay]]</f>
        <v>45751</v>
      </c>
      <c r="AB42" t="str">
        <f t="shared" ca="1" si="6"/>
        <v>N/A</v>
      </c>
      <c r="AC42" t="str">
        <f ca="1">IF(AB42="General Ward","GW"&amp;TEXT(COUNTIF($AB$2:AB42,"General Ward"),"000"),IF(AB42="Semi Private","SP"&amp;TEXT(COUNTIF($AB$2:AB42,"Semi Private"),"000"),IF(AB42="Private Room","PR"&amp;TEXT(COUNTIF($AB$2:AB42,"Private Room"),"000"),IF(AB42="ICU","ICU"&amp;TEXT(COUNTIF($AB$2:AB42,"ICU"),"000"),"N/A"))))</f>
        <v>N/A</v>
      </c>
      <c r="AD42" t="str">
        <f t="shared" ca="1" si="4"/>
        <v>Not Admitted</v>
      </c>
      <c r="AE42" s="2" t="str">
        <f t="shared" ca="1" si="7"/>
        <v>N/A</v>
      </c>
    </row>
    <row r="43" spans="1:31" x14ac:dyDescent="0.3">
      <c r="A43" t="s">
        <v>152</v>
      </c>
      <c r="B43" t="s">
        <v>153</v>
      </c>
      <c r="C43" t="s">
        <v>22</v>
      </c>
      <c r="D43">
        <v>61</v>
      </c>
      <c r="E43" t="str" cm="1">
        <f t="array" aca="1" ref="E43" ca="1">_xlfn.IFS(
H43="Cardiology",CHOOSE(RANDBETWEEN(1,6),"Hypertension","Arrhythmia","Angina","Heart Failure","Chest Pain","Coronary Artery Disease"),
H43="General Medicine",CHOOSE(RANDBETWEEN(1,6),"Viral Fever","Influenza","Diabetes","Gastritis","Typhoid","Food Poisoning"),
H43="Orthopedics",CHOOSE(RANDBETWEEN(1,6),"Fracture","Arthritis","Back Pain","Joint Pain","Knee Injury","Shoulder Dislocation"),
H43="Neurology",CHOOSE(RANDBETWEEN(1,6),"Migraine","Stroke","Epilepsy","Vertigo","Parkinson's Disease","Peripheral Neuropathy"),
H43="Pediatrics",CHOOSE(RANDBETWEEN(1,6),"Common Cold","Asthma","Pneumonia","Ear Infection","Viral Fever","Stomach Infection"),
H43="Dermatology",CHOOSE(RANDBETWEEN(1,6),"Acne","Eczema","Psoriasis","Fungal Infection","Heat Rash","Contact Dermatitis"),
H43="ENT",CHOOSE(RANDBETWEEN(1,6),"Sinusitis","Tonsillitis","Ear Infection","Throat Infection","Allergic Rhinitis","Otitis Media"),
H43="Gynecology",CHOOSE(RANDBETWEEN(1,6),"PCOS","UTI","Pregnancy Checkup","Menstrual Disorder","Ovarian Cyst","Endometriosis")
)</f>
        <v>Influenza</v>
      </c>
      <c r="F43" t="str" cm="1">
        <f t="array" ref="F43">_xlfn.SWITCH(K43,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43" t="s">
        <v>53</v>
      </c>
      <c r="H43" t="s">
        <v>73</v>
      </c>
      <c r="I43" t="s">
        <v>105</v>
      </c>
      <c r="J43" s="1">
        <v>45752</v>
      </c>
      <c r="K43" t="str">
        <f t="shared" si="3"/>
        <v>April</v>
      </c>
      <c r="L43">
        <f t="shared" si="5"/>
        <v>4</v>
      </c>
      <c r="M43" t="s">
        <v>26</v>
      </c>
      <c r="N43" t="s">
        <v>36</v>
      </c>
      <c r="O43">
        <v>1800</v>
      </c>
      <c r="P43">
        <v>6500</v>
      </c>
      <c r="Q43">
        <v>3000</v>
      </c>
      <c r="R43">
        <v>18000</v>
      </c>
      <c r="S43" t="s">
        <v>37</v>
      </c>
      <c r="T43" t="s">
        <v>15</v>
      </c>
      <c r="U43">
        <v>29300</v>
      </c>
      <c r="V43">
        <v>5</v>
      </c>
      <c r="W43">
        <v>4.8</v>
      </c>
      <c r="X43" t="s">
        <v>400</v>
      </c>
      <c r="Y43" t="s">
        <v>601</v>
      </c>
      <c r="Z43" s="1">
        <v>45752</v>
      </c>
      <c r="AA43" s="1">
        <f>Table1[[#This Row],[Admission_Date]]+Table1[[#This Row],[Length_of_Stay]]</f>
        <v>45757</v>
      </c>
      <c r="AB43" t="str">
        <f t="shared" ca="1" si="6"/>
        <v>Private Room</v>
      </c>
      <c r="AC43" t="str">
        <f ca="1">IF(AB43="General Ward","GW"&amp;TEXT(COUNTIF($AB$2:AB43,"General Ward"),"000"),IF(AB43="Semi Private","SP"&amp;TEXT(COUNTIF($AB$2:AB43,"Semi Private"),"000"),IF(AB43="Private Room","PR"&amp;TEXT(COUNTIF($AB$2:AB43,"Private Room"),"000"),IF(AB43="ICU","ICU"&amp;TEXT(COUNTIF($AB$2:AB43,"ICU"),"000"),"N/A"))))</f>
        <v>PR006</v>
      </c>
      <c r="AD43" t="str">
        <f t="shared" ca="1" si="4"/>
        <v>Occupied</v>
      </c>
      <c r="AE43" s="2" t="str">
        <f t="shared" ca="1" si="7"/>
        <v>Walk-in</v>
      </c>
    </row>
    <row r="44" spans="1:31" x14ac:dyDescent="0.3">
      <c r="A44" t="s">
        <v>154</v>
      </c>
      <c r="B44" t="s">
        <v>155</v>
      </c>
      <c r="C44" t="s">
        <v>32</v>
      </c>
      <c r="D44">
        <v>14</v>
      </c>
      <c r="E44" t="str" cm="1">
        <f t="array" aca="1" ref="E44" ca="1">_xlfn.IFS(
H44="Cardiology",CHOOSE(RANDBETWEEN(1,6),"Hypertension","Arrhythmia","Angina","Heart Failure","Chest Pain","Coronary Artery Disease"),
H44="General Medicine",CHOOSE(RANDBETWEEN(1,6),"Viral Fever","Influenza","Diabetes","Gastritis","Typhoid","Food Poisoning"),
H44="Orthopedics",CHOOSE(RANDBETWEEN(1,6),"Fracture","Arthritis","Back Pain","Joint Pain","Knee Injury","Shoulder Dislocation"),
H44="Neurology",CHOOSE(RANDBETWEEN(1,6),"Migraine","Stroke","Epilepsy","Vertigo","Parkinson's Disease","Peripheral Neuropathy"),
H44="Pediatrics",CHOOSE(RANDBETWEEN(1,6),"Common Cold","Asthma","Pneumonia","Ear Infection","Viral Fever","Stomach Infection"),
H44="Dermatology",CHOOSE(RANDBETWEEN(1,6),"Acne","Eczema","Psoriasis","Fungal Infection","Heat Rash","Contact Dermatitis"),
H44="ENT",CHOOSE(RANDBETWEEN(1,6),"Sinusitis","Tonsillitis","Ear Infection","Throat Infection","Allergic Rhinitis","Otitis Media"),
H44="Gynecology",CHOOSE(RANDBETWEEN(1,6),"PCOS","UTI","Pregnancy Checkup","Menstrual Disorder","Ovarian Cyst","Endometriosis")
)</f>
        <v>Pneumonia</v>
      </c>
      <c r="F44" t="str" cm="1">
        <f t="array" ref="F44">_xlfn.SWITCH(K44,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44" t="s">
        <v>23</v>
      </c>
      <c r="H44" t="s">
        <v>48</v>
      </c>
      <c r="I44" t="s">
        <v>156</v>
      </c>
      <c r="J44" s="1">
        <v>45753</v>
      </c>
      <c r="K44" t="str">
        <f t="shared" si="3"/>
        <v>April</v>
      </c>
      <c r="L44">
        <f t="shared" si="5"/>
        <v>4</v>
      </c>
      <c r="M44" t="s">
        <v>26</v>
      </c>
      <c r="N44" t="s">
        <v>27</v>
      </c>
      <c r="O44">
        <v>700</v>
      </c>
      <c r="P44">
        <v>600</v>
      </c>
      <c r="Q44">
        <v>500</v>
      </c>
      <c r="R44">
        <v>0</v>
      </c>
      <c r="S44" t="s">
        <v>28</v>
      </c>
      <c r="T44" t="s">
        <v>29</v>
      </c>
      <c r="U44">
        <v>1800</v>
      </c>
      <c r="V44">
        <v>0</v>
      </c>
      <c r="W44">
        <v>4.9000000000000004</v>
      </c>
      <c r="X44" t="s">
        <v>401</v>
      </c>
      <c r="Y44" t="s">
        <v>602</v>
      </c>
      <c r="Z44" s="1">
        <v>45753</v>
      </c>
      <c r="AA44" s="1">
        <f>Table1[[#This Row],[Admission_Date]]+Table1[[#This Row],[Length_of_Stay]]</f>
        <v>45753</v>
      </c>
      <c r="AB44" t="str">
        <f t="shared" ca="1" si="6"/>
        <v>N/A</v>
      </c>
      <c r="AC44" t="str">
        <f ca="1">IF(AB44="General Ward","GW"&amp;TEXT(COUNTIF($AB$2:AB44,"General Ward"),"000"),IF(AB44="Semi Private","SP"&amp;TEXT(COUNTIF($AB$2:AB44,"Semi Private"),"000"),IF(AB44="Private Room","PR"&amp;TEXT(COUNTIF($AB$2:AB44,"Private Room"),"000"),IF(AB44="ICU","ICU"&amp;TEXT(COUNTIF($AB$2:AB44,"ICU"),"000"),"N/A"))))</f>
        <v>N/A</v>
      </c>
      <c r="AD44" t="str">
        <f t="shared" ca="1" si="4"/>
        <v>Not Admitted</v>
      </c>
      <c r="AE44" s="2" t="str">
        <f t="shared" ca="1" si="7"/>
        <v>N/A</v>
      </c>
    </row>
    <row r="45" spans="1:31" x14ac:dyDescent="0.3">
      <c r="A45" t="s">
        <v>157</v>
      </c>
      <c r="B45" t="s">
        <v>52</v>
      </c>
      <c r="C45" t="s">
        <v>22</v>
      </c>
      <c r="D45">
        <v>37</v>
      </c>
      <c r="E45" t="str" cm="1">
        <f t="array" aca="1" ref="E45" ca="1">_xlfn.IFS(
H45="Cardiology",CHOOSE(RANDBETWEEN(1,6),"Hypertension","Arrhythmia","Angina","Heart Failure","Chest Pain","Coronary Artery Disease"),
H45="General Medicine",CHOOSE(RANDBETWEEN(1,6),"Viral Fever","Influenza","Diabetes","Gastritis","Typhoid","Food Poisoning"),
H45="Orthopedics",CHOOSE(RANDBETWEEN(1,6),"Fracture","Arthritis","Back Pain","Joint Pain","Knee Injury","Shoulder Dislocation"),
H45="Neurology",CHOOSE(RANDBETWEEN(1,6),"Migraine","Stroke","Epilepsy","Vertigo","Parkinson's Disease","Peripheral Neuropathy"),
H45="Pediatrics",CHOOSE(RANDBETWEEN(1,6),"Common Cold","Asthma","Pneumonia","Ear Infection","Viral Fever","Stomach Infection"),
H45="Dermatology",CHOOSE(RANDBETWEEN(1,6),"Acne","Eczema","Psoriasis","Fungal Infection","Heat Rash","Contact Dermatitis"),
H45="ENT",CHOOSE(RANDBETWEEN(1,6),"Sinusitis","Tonsillitis","Ear Infection","Throat Infection","Allergic Rhinitis","Otitis Media"),
H45="Gynecology",CHOOSE(RANDBETWEEN(1,6),"PCOS","UTI","Pregnancy Checkup","Menstrual Disorder","Ovarian Cyst","Endometriosis")
)</f>
        <v>Hypertension</v>
      </c>
      <c r="F45" t="str" cm="1">
        <f t="array" ref="F45">_xlfn.SWITCH(K45,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45" t="s">
        <v>40</v>
      </c>
      <c r="H45" t="s">
        <v>24</v>
      </c>
      <c r="I45" t="s">
        <v>69</v>
      </c>
      <c r="J45" s="1">
        <v>45754</v>
      </c>
      <c r="K45" t="str">
        <f t="shared" si="3"/>
        <v>April</v>
      </c>
      <c r="L45">
        <f t="shared" si="5"/>
        <v>4</v>
      </c>
      <c r="M45" t="s">
        <v>43</v>
      </c>
      <c r="N45" t="s">
        <v>27</v>
      </c>
      <c r="O45">
        <v>1200</v>
      </c>
      <c r="P45">
        <v>1000</v>
      </c>
      <c r="Q45">
        <v>900</v>
      </c>
      <c r="R45">
        <v>0</v>
      </c>
      <c r="S45" t="s">
        <v>28</v>
      </c>
      <c r="T45" t="s">
        <v>44</v>
      </c>
      <c r="U45">
        <v>3100</v>
      </c>
      <c r="V45">
        <v>0</v>
      </c>
      <c r="W45">
        <v>4.2</v>
      </c>
      <c r="X45" t="s">
        <v>402</v>
      </c>
      <c r="Y45" t="s">
        <v>603</v>
      </c>
      <c r="Z45" s="1">
        <v>45754</v>
      </c>
      <c r="AA45" s="1">
        <f>Table1[[#This Row],[Admission_Date]]+Table1[[#This Row],[Length_of_Stay]]</f>
        <v>45754</v>
      </c>
      <c r="AB45" t="str">
        <f t="shared" ca="1" si="6"/>
        <v>N/A</v>
      </c>
      <c r="AC45" t="str">
        <f ca="1">IF(AB45="General Ward","GW"&amp;TEXT(COUNTIF($AB$2:AB45,"General Ward"),"000"),IF(AB45="Semi Private","SP"&amp;TEXT(COUNTIF($AB$2:AB45,"Semi Private"),"000"),IF(AB45="Private Room","PR"&amp;TEXT(COUNTIF($AB$2:AB45,"Private Room"),"000"),IF(AB45="ICU","ICU"&amp;TEXT(COUNTIF($AB$2:AB45,"ICU"),"000"),"N/A"))))</f>
        <v>N/A</v>
      </c>
      <c r="AD45" t="str">
        <f t="shared" ca="1" si="4"/>
        <v>Not Admitted</v>
      </c>
      <c r="AE45" s="2" t="str">
        <f t="shared" ca="1" si="7"/>
        <v>N/A</v>
      </c>
    </row>
    <row r="46" spans="1:31" x14ac:dyDescent="0.3">
      <c r="A46" t="s">
        <v>158</v>
      </c>
      <c r="B46" t="s">
        <v>159</v>
      </c>
      <c r="C46" t="s">
        <v>32</v>
      </c>
      <c r="D46">
        <v>54</v>
      </c>
      <c r="E46" t="str" cm="1">
        <f t="array" aca="1" ref="E46" ca="1">_xlfn.IFS(
H46="Cardiology",CHOOSE(RANDBETWEEN(1,6),"Hypertension","Arrhythmia","Angina","Heart Failure","Chest Pain","Coronary Artery Disease"),
H46="General Medicine",CHOOSE(RANDBETWEEN(1,6),"Viral Fever","Influenza","Diabetes","Gastritis","Typhoid","Food Poisoning"),
H46="Orthopedics",CHOOSE(RANDBETWEEN(1,6),"Fracture","Arthritis","Back Pain","Joint Pain","Knee Injury","Shoulder Dislocation"),
H46="Neurology",CHOOSE(RANDBETWEEN(1,6),"Migraine","Stroke","Epilepsy","Vertigo","Parkinson's Disease","Peripheral Neuropathy"),
H46="Pediatrics",CHOOSE(RANDBETWEEN(1,6),"Common Cold","Asthma","Pneumonia","Ear Infection","Viral Fever","Stomach Infection"),
H46="Dermatology",CHOOSE(RANDBETWEEN(1,6),"Acne","Eczema","Psoriasis","Fungal Infection","Heat Rash","Contact Dermatitis"),
H46="ENT",CHOOSE(RANDBETWEEN(1,6),"Sinusitis","Tonsillitis","Ear Infection","Throat Infection","Allergic Rhinitis","Otitis Media"),
H46="Gynecology",CHOOSE(RANDBETWEEN(1,6),"PCOS","UTI","Pregnancy Checkup","Menstrual Disorder","Ovarian Cyst","Endometriosis")
)</f>
        <v>Parkinson's Disease</v>
      </c>
      <c r="F46" t="str" cm="1">
        <f t="array" ref="F46">_xlfn.SWITCH(K46,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46" t="s">
        <v>68</v>
      </c>
      <c r="H46" t="s">
        <v>54</v>
      </c>
      <c r="I46" t="s">
        <v>160</v>
      </c>
      <c r="J46" s="1">
        <v>45755</v>
      </c>
      <c r="K46" t="str">
        <f t="shared" si="3"/>
        <v>April</v>
      </c>
      <c r="L46">
        <f t="shared" si="5"/>
        <v>4</v>
      </c>
      <c r="M46" t="s">
        <v>26</v>
      </c>
      <c r="N46" t="s">
        <v>36</v>
      </c>
      <c r="O46">
        <v>2000</v>
      </c>
      <c r="P46">
        <v>9000</v>
      </c>
      <c r="Q46">
        <v>4200</v>
      </c>
      <c r="R46">
        <v>23000</v>
      </c>
      <c r="S46" t="s">
        <v>37</v>
      </c>
      <c r="T46" t="s">
        <v>15</v>
      </c>
      <c r="U46">
        <v>38200</v>
      </c>
      <c r="V46">
        <v>6</v>
      </c>
      <c r="W46">
        <v>5</v>
      </c>
      <c r="X46" t="s">
        <v>403</v>
      </c>
      <c r="Y46" t="s">
        <v>604</v>
      </c>
      <c r="Z46" s="1">
        <v>45755</v>
      </c>
      <c r="AA46" s="1">
        <f>Table1[[#This Row],[Admission_Date]]+Table1[[#This Row],[Length_of_Stay]]</f>
        <v>45761</v>
      </c>
      <c r="AB46" t="str">
        <f t="shared" ca="1" si="6"/>
        <v>ICU</v>
      </c>
      <c r="AC46" t="str">
        <f ca="1">IF(AB46="General Ward","GW"&amp;TEXT(COUNTIF($AB$2:AB46,"General Ward"),"000"),IF(AB46="Semi Private","SP"&amp;TEXT(COUNTIF($AB$2:AB46,"Semi Private"),"000"),IF(AB46="Private Room","PR"&amp;TEXT(COUNTIF($AB$2:AB46,"Private Room"),"000"),IF(AB46="ICU","ICU"&amp;TEXT(COUNTIF($AB$2:AB46,"ICU"),"000"),"N/A"))))</f>
        <v>ICU002</v>
      </c>
      <c r="AD46" t="str">
        <f t="shared" ca="1" si="4"/>
        <v>Occupied</v>
      </c>
      <c r="AE46" s="2" t="str">
        <f t="shared" ca="1" si="7"/>
        <v>Emergency</v>
      </c>
    </row>
    <row r="47" spans="1:31" x14ac:dyDescent="0.3">
      <c r="A47" t="s">
        <v>161</v>
      </c>
      <c r="B47" t="s">
        <v>162</v>
      </c>
      <c r="C47" t="s">
        <v>22</v>
      </c>
      <c r="D47">
        <v>31</v>
      </c>
      <c r="E47" t="str" cm="1">
        <f t="array" aca="1" ref="E47" ca="1">_xlfn.IFS(
H47="Cardiology",CHOOSE(RANDBETWEEN(1,6),"Hypertension","Arrhythmia","Angina","Heart Failure","Chest Pain","Coronary Artery Disease"),
H47="General Medicine",CHOOSE(RANDBETWEEN(1,6),"Viral Fever","Influenza","Diabetes","Gastritis","Typhoid","Food Poisoning"),
H47="Orthopedics",CHOOSE(RANDBETWEEN(1,6),"Fracture","Arthritis","Back Pain","Joint Pain","Knee Injury","Shoulder Dislocation"),
H47="Neurology",CHOOSE(RANDBETWEEN(1,6),"Migraine","Stroke","Epilepsy","Vertigo","Parkinson's Disease","Peripheral Neuropathy"),
H47="Pediatrics",CHOOSE(RANDBETWEEN(1,6),"Common Cold","Asthma","Pneumonia","Ear Infection","Viral Fever","Stomach Infection"),
H47="Dermatology",CHOOSE(RANDBETWEEN(1,6),"Acne","Eczema","Psoriasis","Fungal Infection","Heat Rash","Contact Dermatitis"),
H47="ENT",CHOOSE(RANDBETWEEN(1,6),"Sinusitis","Tonsillitis","Ear Infection","Throat Infection","Allergic Rhinitis","Otitis Media"),
H47="Gynecology",CHOOSE(RANDBETWEEN(1,6),"PCOS","UTI","Pregnancy Checkup","Menstrual Disorder","Ovarian Cyst","Endometriosis")
)</f>
        <v>Ear Infection</v>
      </c>
      <c r="F47" t="str" cm="1">
        <f t="array" ref="F47">_xlfn.SWITCH(K47,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47" t="s">
        <v>33</v>
      </c>
      <c r="H47" t="s">
        <v>64</v>
      </c>
      <c r="I47" t="s">
        <v>78</v>
      </c>
      <c r="J47" s="1">
        <v>45756</v>
      </c>
      <c r="K47" t="str">
        <f t="shared" si="3"/>
        <v>April</v>
      </c>
      <c r="L47">
        <f t="shared" si="5"/>
        <v>4</v>
      </c>
      <c r="M47" t="s">
        <v>26</v>
      </c>
      <c r="N47" t="s">
        <v>27</v>
      </c>
      <c r="O47">
        <v>1000</v>
      </c>
      <c r="P47">
        <v>900</v>
      </c>
      <c r="Q47">
        <v>700</v>
      </c>
      <c r="R47">
        <v>0</v>
      </c>
      <c r="S47" t="s">
        <v>28</v>
      </c>
      <c r="T47" t="s">
        <v>50</v>
      </c>
      <c r="U47">
        <v>2600</v>
      </c>
      <c r="V47">
        <v>0</v>
      </c>
      <c r="W47">
        <v>4.5999999999999996</v>
      </c>
      <c r="X47" t="s">
        <v>404</v>
      </c>
      <c r="Y47" t="s">
        <v>605</v>
      </c>
      <c r="Z47" s="1">
        <v>45756</v>
      </c>
      <c r="AA47" s="1">
        <f>Table1[[#This Row],[Admission_Date]]+Table1[[#This Row],[Length_of_Stay]]</f>
        <v>45756</v>
      </c>
      <c r="AB47" t="str">
        <f t="shared" ca="1" si="6"/>
        <v>N/A</v>
      </c>
      <c r="AC47" t="str">
        <f ca="1">IF(AB47="General Ward","GW"&amp;TEXT(COUNTIF($AB$2:AB47,"General Ward"),"000"),IF(AB47="Semi Private","SP"&amp;TEXT(COUNTIF($AB$2:AB47,"Semi Private"),"000"),IF(AB47="Private Room","PR"&amp;TEXT(COUNTIF($AB$2:AB47,"Private Room"),"000"),IF(AB47="ICU","ICU"&amp;TEXT(COUNTIF($AB$2:AB47,"ICU"),"000"),"N/A"))))</f>
        <v>N/A</v>
      </c>
      <c r="AD47" t="str">
        <f t="shared" ca="1" si="4"/>
        <v>Not Admitted</v>
      </c>
      <c r="AE47" s="2" t="str">
        <f t="shared" ca="1" si="7"/>
        <v>N/A</v>
      </c>
    </row>
    <row r="48" spans="1:31" x14ac:dyDescent="0.3">
      <c r="A48" t="s">
        <v>163</v>
      </c>
      <c r="B48" t="s">
        <v>164</v>
      </c>
      <c r="C48" t="s">
        <v>32</v>
      </c>
      <c r="D48">
        <v>40</v>
      </c>
      <c r="E48" t="str" cm="1">
        <f t="array" aca="1" ref="E48" ca="1">_xlfn.IFS(
H48="Cardiology",CHOOSE(RANDBETWEEN(1,6),"Hypertension","Arrhythmia","Angina","Heart Failure","Chest Pain","Coronary Artery Disease"),
H48="General Medicine",CHOOSE(RANDBETWEEN(1,6),"Viral Fever","Influenza","Diabetes","Gastritis","Typhoid","Food Poisoning"),
H48="Orthopedics",CHOOSE(RANDBETWEEN(1,6),"Fracture","Arthritis","Back Pain","Joint Pain","Knee Injury","Shoulder Dislocation"),
H48="Neurology",CHOOSE(RANDBETWEEN(1,6),"Migraine","Stroke","Epilepsy","Vertigo","Parkinson's Disease","Peripheral Neuropathy"),
H48="Pediatrics",CHOOSE(RANDBETWEEN(1,6),"Common Cold","Asthma","Pneumonia","Ear Infection","Viral Fever","Stomach Infection"),
H48="Dermatology",CHOOSE(RANDBETWEEN(1,6),"Acne","Eczema","Psoriasis","Fungal Infection","Heat Rash","Contact Dermatitis"),
H48="ENT",CHOOSE(RANDBETWEEN(1,6),"Sinusitis","Tonsillitis","Ear Infection","Throat Infection","Allergic Rhinitis","Otitis Media"),
H48="Gynecology",CHOOSE(RANDBETWEEN(1,6),"PCOS","UTI","Pregnancy Checkup","Menstrual Disorder","Ovarian Cyst","Endometriosis")
)</f>
        <v>Endometriosis</v>
      </c>
      <c r="F48" t="str" cm="1">
        <f t="array" ref="F48">_xlfn.SWITCH(K48,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48" t="s">
        <v>72</v>
      </c>
      <c r="H48" t="s">
        <v>34</v>
      </c>
      <c r="I48" t="s">
        <v>165</v>
      </c>
      <c r="J48" s="1">
        <v>45757</v>
      </c>
      <c r="K48" t="str">
        <f t="shared" si="3"/>
        <v>April</v>
      </c>
      <c r="L48">
        <f t="shared" si="5"/>
        <v>4</v>
      </c>
      <c r="M48" t="s">
        <v>26</v>
      </c>
      <c r="N48" t="s">
        <v>27</v>
      </c>
      <c r="O48">
        <v>1300</v>
      </c>
      <c r="P48">
        <v>1200</v>
      </c>
      <c r="Q48">
        <v>900</v>
      </c>
      <c r="R48">
        <v>0</v>
      </c>
      <c r="S48" t="s">
        <v>28</v>
      </c>
      <c r="T48" t="s">
        <v>29</v>
      </c>
      <c r="U48">
        <v>3400</v>
      </c>
      <c r="V48">
        <v>0</v>
      </c>
      <c r="W48">
        <v>4.8</v>
      </c>
      <c r="X48" t="s">
        <v>405</v>
      </c>
      <c r="Y48" t="s">
        <v>606</v>
      </c>
      <c r="Z48" s="1">
        <v>45757</v>
      </c>
      <c r="AA48" s="1">
        <f>Table1[[#This Row],[Admission_Date]]+Table1[[#This Row],[Length_of_Stay]]</f>
        <v>45757</v>
      </c>
      <c r="AB48" t="str">
        <f t="shared" ca="1" si="6"/>
        <v>N/A</v>
      </c>
      <c r="AC48" t="str">
        <f ca="1">IF(AB48="General Ward","GW"&amp;TEXT(COUNTIF($AB$2:AB48,"General Ward"),"000"),IF(AB48="Semi Private","SP"&amp;TEXT(COUNTIF($AB$2:AB48,"Semi Private"),"000"),IF(AB48="Private Room","PR"&amp;TEXT(COUNTIF($AB$2:AB48,"Private Room"),"000"),IF(AB48="ICU","ICU"&amp;TEXT(COUNTIF($AB$2:AB48,"ICU"),"000"),"N/A"))))</f>
        <v>N/A</v>
      </c>
      <c r="AD48" t="str">
        <f t="shared" ca="1" si="4"/>
        <v>Not Admitted</v>
      </c>
      <c r="AE48" s="2" t="str">
        <f t="shared" ca="1" si="7"/>
        <v>N/A</v>
      </c>
    </row>
    <row r="49" spans="1:31" x14ac:dyDescent="0.3">
      <c r="A49" t="s">
        <v>166</v>
      </c>
      <c r="B49" t="s">
        <v>98</v>
      </c>
      <c r="C49" t="s">
        <v>22</v>
      </c>
      <c r="D49">
        <v>46</v>
      </c>
      <c r="E49" t="str" cm="1">
        <f t="array" aca="1" ref="E49" ca="1">_xlfn.IFS(
H49="Cardiology",CHOOSE(RANDBETWEEN(1,6),"Hypertension","Arrhythmia","Angina","Heart Failure","Chest Pain","Coronary Artery Disease"),
H49="General Medicine",CHOOSE(RANDBETWEEN(1,6),"Viral Fever","Influenza","Diabetes","Gastritis","Typhoid","Food Poisoning"),
H49="Orthopedics",CHOOSE(RANDBETWEEN(1,6),"Fracture","Arthritis","Back Pain","Joint Pain","Knee Injury","Shoulder Dislocation"),
H49="Neurology",CHOOSE(RANDBETWEEN(1,6),"Migraine","Stroke","Epilepsy","Vertigo","Parkinson's Disease","Peripheral Neuropathy"),
H49="Pediatrics",CHOOSE(RANDBETWEEN(1,6),"Common Cold","Asthma","Pneumonia","Ear Infection","Viral Fever","Stomach Infection"),
H49="Dermatology",CHOOSE(RANDBETWEEN(1,6),"Acne","Eczema","Psoriasis","Fungal Infection","Heat Rash","Contact Dermatitis"),
H49="ENT",CHOOSE(RANDBETWEEN(1,6),"Sinusitis","Tonsillitis","Ear Infection","Throat Infection","Allergic Rhinitis","Otitis Media"),
H49="Gynecology",CHOOSE(RANDBETWEEN(1,6),"PCOS","UTI","Pregnancy Checkup","Menstrual Disorder","Ovarian Cyst","Endometriosis")
)</f>
        <v>Knee Injury</v>
      </c>
      <c r="F49" t="str" cm="1">
        <f t="array" ref="F49">_xlfn.SWITCH(K49,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49" t="s">
        <v>63</v>
      </c>
      <c r="H49" t="s">
        <v>41</v>
      </c>
      <c r="I49" t="s">
        <v>102</v>
      </c>
      <c r="J49" s="1">
        <v>45758</v>
      </c>
      <c r="K49" t="str">
        <f t="shared" si="3"/>
        <v>April</v>
      </c>
      <c r="L49">
        <f t="shared" si="5"/>
        <v>4</v>
      </c>
      <c r="M49" t="s">
        <v>26</v>
      </c>
      <c r="N49" t="s">
        <v>36</v>
      </c>
      <c r="O49">
        <v>1700</v>
      </c>
      <c r="P49">
        <v>5500</v>
      </c>
      <c r="Q49">
        <v>3000</v>
      </c>
      <c r="R49">
        <v>17000</v>
      </c>
      <c r="S49" t="s">
        <v>37</v>
      </c>
      <c r="T49" t="s">
        <v>15</v>
      </c>
      <c r="U49">
        <v>27200</v>
      </c>
      <c r="V49">
        <v>4</v>
      </c>
      <c r="W49">
        <v>4.8</v>
      </c>
      <c r="X49" t="s">
        <v>406</v>
      </c>
      <c r="Y49" t="s">
        <v>607</v>
      </c>
      <c r="Z49" s="1">
        <v>45758</v>
      </c>
      <c r="AA49" s="1">
        <f>Table1[[#This Row],[Admission_Date]]+Table1[[#This Row],[Length_of_Stay]]</f>
        <v>45762</v>
      </c>
      <c r="AB49" t="str">
        <f t="shared" ca="1" si="6"/>
        <v>Semi Private</v>
      </c>
      <c r="AC49" t="str">
        <f ca="1">IF(AB49="General Ward","GW"&amp;TEXT(COUNTIF($AB$2:AB49,"General Ward"),"000"),IF(AB49="Semi Private","SP"&amp;TEXT(COUNTIF($AB$2:AB49,"Semi Private"),"000"),IF(AB49="Private Room","PR"&amp;TEXT(COUNTIF($AB$2:AB49,"Private Room"),"000"),IF(AB49="ICU","ICU"&amp;TEXT(COUNTIF($AB$2:AB49,"ICU"),"000"),"N/A"))))</f>
        <v>SP006</v>
      </c>
      <c r="AD49" t="str">
        <f t="shared" ca="1" si="4"/>
        <v>Available</v>
      </c>
      <c r="AE49" s="2" t="str">
        <f t="shared" ca="1" si="7"/>
        <v>Scheduled</v>
      </c>
    </row>
    <row r="50" spans="1:31" x14ac:dyDescent="0.3">
      <c r="A50" t="s">
        <v>167</v>
      </c>
      <c r="B50" t="s">
        <v>168</v>
      </c>
      <c r="C50" t="s">
        <v>32</v>
      </c>
      <c r="D50">
        <v>25</v>
      </c>
      <c r="E50" t="str" cm="1">
        <f t="array" aca="1" ref="E50" ca="1">_xlfn.IFS(
H50="Cardiology",CHOOSE(RANDBETWEEN(1,6),"Hypertension","Arrhythmia","Angina","Heart Failure","Chest Pain","Coronary Artery Disease"),
H50="General Medicine",CHOOSE(RANDBETWEEN(1,6),"Viral Fever","Influenza","Diabetes","Gastritis","Typhoid","Food Poisoning"),
H50="Orthopedics",CHOOSE(RANDBETWEEN(1,6),"Fracture","Arthritis","Back Pain","Joint Pain","Knee Injury","Shoulder Dislocation"),
H50="Neurology",CHOOSE(RANDBETWEEN(1,6),"Migraine","Stroke","Epilepsy","Vertigo","Parkinson's Disease","Peripheral Neuropathy"),
H50="Pediatrics",CHOOSE(RANDBETWEEN(1,6),"Common Cold","Asthma","Pneumonia","Ear Infection","Viral Fever","Stomach Infection"),
H50="Dermatology",CHOOSE(RANDBETWEEN(1,6),"Acne","Eczema","Psoriasis","Fungal Infection","Heat Rash","Contact Dermatitis"),
H50="ENT",CHOOSE(RANDBETWEEN(1,6),"Sinusitis","Tonsillitis","Ear Infection","Throat Infection","Allergic Rhinitis","Otitis Media"),
H50="Gynecology",CHOOSE(RANDBETWEEN(1,6),"PCOS","UTI","Pregnancy Checkup","Menstrual Disorder","Ovarian Cyst","Endometriosis")
)</f>
        <v>Fungal Infection</v>
      </c>
      <c r="F50" t="str" cm="1">
        <f t="array" ref="F50">_xlfn.SWITCH(K50,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50" t="s">
        <v>77</v>
      </c>
      <c r="H50" t="s">
        <v>58</v>
      </c>
      <c r="I50" t="s">
        <v>59</v>
      </c>
      <c r="J50" s="1">
        <v>45759</v>
      </c>
      <c r="K50" t="str">
        <f t="shared" si="3"/>
        <v>April</v>
      </c>
      <c r="L50">
        <f t="shared" si="5"/>
        <v>4</v>
      </c>
      <c r="M50" t="s">
        <v>60</v>
      </c>
      <c r="N50" t="s">
        <v>27</v>
      </c>
      <c r="O50">
        <v>900</v>
      </c>
      <c r="P50">
        <v>400</v>
      </c>
      <c r="Q50">
        <v>500</v>
      </c>
      <c r="R50">
        <v>0</v>
      </c>
      <c r="S50" t="s">
        <v>28</v>
      </c>
      <c r="T50" t="s">
        <v>44</v>
      </c>
      <c r="U50">
        <v>1800</v>
      </c>
      <c r="V50">
        <v>0</v>
      </c>
      <c r="W50">
        <v>3.9</v>
      </c>
      <c r="X50" t="s">
        <v>407</v>
      </c>
      <c r="Y50" t="s">
        <v>608</v>
      </c>
      <c r="Z50" s="1">
        <v>45759</v>
      </c>
      <c r="AA50" s="1">
        <f>Table1[[#This Row],[Admission_Date]]+Table1[[#This Row],[Length_of_Stay]]</f>
        <v>45759</v>
      </c>
      <c r="AB50" t="str">
        <f t="shared" ca="1" si="6"/>
        <v>N/A</v>
      </c>
      <c r="AC50" t="str">
        <f ca="1">IF(AB50="General Ward","GW"&amp;TEXT(COUNTIF($AB$2:AB50,"General Ward"),"000"),IF(AB50="Semi Private","SP"&amp;TEXT(COUNTIF($AB$2:AB50,"Semi Private"),"000"),IF(AB50="Private Room","PR"&amp;TEXT(COUNTIF($AB$2:AB50,"Private Room"),"000"),IF(AB50="ICU","ICU"&amp;TEXT(COUNTIF($AB$2:AB50,"ICU"),"000"),"N/A"))))</f>
        <v>N/A</v>
      </c>
      <c r="AD50" t="str">
        <f t="shared" ca="1" si="4"/>
        <v>Not Admitted</v>
      </c>
      <c r="AE50" s="2" t="str">
        <f t="shared" ca="1" si="7"/>
        <v>N/A</v>
      </c>
    </row>
    <row r="51" spans="1:31" x14ac:dyDescent="0.3">
      <c r="A51" t="s">
        <v>169</v>
      </c>
      <c r="B51" t="s">
        <v>170</v>
      </c>
      <c r="C51" t="s">
        <v>22</v>
      </c>
      <c r="D51">
        <v>58</v>
      </c>
      <c r="E51" t="str" cm="1">
        <f t="array" aca="1" ref="E51" ca="1">_xlfn.IFS(
H51="Cardiology",CHOOSE(RANDBETWEEN(1,6),"Hypertension","Arrhythmia","Angina","Heart Failure","Chest Pain","Coronary Artery Disease"),
H51="General Medicine",CHOOSE(RANDBETWEEN(1,6),"Viral Fever","Influenza","Diabetes","Gastritis","Typhoid","Food Poisoning"),
H51="Orthopedics",CHOOSE(RANDBETWEEN(1,6),"Fracture","Arthritis","Back Pain","Joint Pain","Knee Injury","Shoulder Dislocation"),
H51="Neurology",CHOOSE(RANDBETWEEN(1,6),"Migraine","Stroke","Epilepsy","Vertigo","Parkinson's Disease","Peripheral Neuropathy"),
H51="Pediatrics",CHOOSE(RANDBETWEEN(1,6),"Common Cold","Asthma","Pneumonia","Ear Infection","Viral Fever","Stomach Infection"),
H51="Dermatology",CHOOSE(RANDBETWEEN(1,6),"Acne","Eczema","Psoriasis","Fungal Infection","Heat Rash","Contact Dermatitis"),
H51="ENT",CHOOSE(RANDBETWEEN(1,6),"Sinusitis","Tonsillitis","Ear Infection","Throat Infection","Allergic Rhinitis","Otitis Media"),
H51="Gynecology",CHOOSE(RANDBETWEEN(1,6),"PCOS","UTI","Pregnancy Checkup","Menstrual Disorder","Ovarian Cyst","Endometriosis")
)</f>
        <v>Hypertension</v>
      </c>
      <c r="F51" t="str" cm="1">
        <f t="array" ref="F51">_xlfn.SWITCH(K51,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51" t="s">
        <v>23</v>
      </c>
      <c r="H51" t="s">
        <v>24</v>
      </c>
      <c r="I51" t="s">
        <v>25</v>
      </c>
      <c r="J51" s="1">
        <v>45760</v>
      </c>
      <c r="K51" t="str">
        <f t="shared" si="3"/>
        <v>April</v>
      </c>
      <c r="L51">
        <f t="shared" si="5"/>
        <v>4</v>
      </c>
      <c r="M51" t="s">
        <v>26</v>
      </c>
      <c r="N51" t="s">
        <v>36</v>
      </c>
      <c r="O51">
        <v>1900</v>
      </c>
      <c r="P51">
        <v>7000</v>
      </c>
      <c r="Q51">
        <v>3800</v>
      </c>
      <c r="R51">
        <v>24000</v>
      </c>
      <c r="S51" t="s">
        <v>37</v>
      </c>
      <c r="T51" t="s">
        <v>15</v>
      </c>
      <c r="U51">
        <v>36700</v>
      </c>
      <c r="V51">
        <v>6</v>
      </c>
      <c r="W51">
        <v>4.9000000000000004</v>
      </c>
      <c r="X51" t="s">
        <v>408</v>
      </c>
      <c r="Y51" t="s">
        <v>609</v>
      </c>
      <c r="Z51" s="1">
        <v>45760</v>
      </c>
      <c r="AA51" s="1">
        <f>Table1[[#This Row],[Admission_Date]]+Table1[[#This Row],[Length_of_Stay]]</f>
        <v>45766</v>
      </c>
      <c r="AB51" t="str">
        <f t="shared" ca="1" si="6"/>
        <v>Semi Private</v>
      </c>
      <c r="AC51" t="str">
        <f ca="1">IF(AB51="General Ward","GW"&amp;TEXT(COUNTIF($AB$2:AB51,"General Ward"),"000"),IF(AB51="Semi Private","SP"&amp;TEXT(COUNTIF($AB$2:AB51,"Semi Private"),"000"),IF(AB51="Private Room","PR"&amp;TEXT(COUNTIF($AB$2:AB51,"Private Room"),"000"),IF(AB51="ICU","ICU"&amp;TEXT(COUNTIF($AB$2:AB51,"ICU"),"000"),"N/A"))))</f>
        <v>SP007</v>
      </c>
      <c r="AD51" t="str">
        <f t="shared" ca="1" si="4"/>
        <v>Available</v>
      </c>
      <c r="AE51" s="2" t="str">
        <f t="shared" ca="1" si="7"/>
        <v>Emergency</v>
      </c>
    </row>
    <row r="52" spans="1:31" x14ac:dyDescent="0.3">
      <c r="A52" t="s">
        <v>171</v>
      </c>
      <c r="B52" t="s">
        <v>172</v>
      </c>
      <c r="C52" t="s">
        <v>22</v>
      </c>
      <c r="D52">
        <v>33</v>
      </c>
      <c r="E52" t="str" cm="1">
        <f t="array" aca="1" ref="E52" ca="1">_xlfn.IFS(
H52="Cardiology",CHOOSE(RANDBETWEEN(1,6),"Hypertension","Arrhythmia","Angina","Heart Failure","Chest Pain","Coronary Artery Disease"),
H52="General Medicine",CHOOSE(RANDBETWEEN(1,6),"Viral Fever","Influenza","Diabetes","Gastritis","Typhoid","Food Poisoning"),
H52="Orthopedics",CHOOSE(RANDBETWEEN(1,6),"Fracture","Arthritis","Back Pain","Joint Pain","Knee Injury","Shoulder Dislocation"),
H52="Neurology",CHOOSE(RANDBETWEEN(1,6),"Migraine","Stroke","Epilepsy","Vertigo","Parkinson's Disease","Peripheral Neuropathy"),
H52="Pediatrics",CHOOSE(RANDBETWEEN(1,6),"Common Cold","Asthma","Pneumonia","Ear Infection","Viral Fever","Stomach Infection"),
H52="Dermatology",CHOOSE(RANDBETWEEN(1,6),"Acne","Eczema","Psoriasis","Fungal Infection","Heat Rash","Contact Dermatitis"),
H52="ENT",CHOOSE(RANDBETWEEN(1,6),"Sinusitis","Tonsillitis","Ear Infection","Throat Infection","Allergic Rhinitis","Otitis Media"),
H52="Gynecology",CHOOSE(RANDBETWEEN(1,6),"PCOS","UTI","Pregnancy Checkup","Menstrual Disorder","Ovarian Cyst","Endometriosis")
)</f>
        <v>Ear Infection</v>
      </c>
      <c r="F52" t="str" cm="1">
        <f t="array" ref="F52">_xlfn.SWITCH(K52,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52" t="s">
        <v>47</v>
      </c>
      <c r="H52" t="s">
        <v>64</v>
      </c>
      <c r="I52" t="s">
        <v>65</v>
      </c>
      <c r="J52" s="1">
        <v>45761</v>
      </c>
      <c r="K52" t="str">
        <f t="shared" si="3"/>
        <v>April</v>
      </c>
      <c r="L52">
        <f t="shared" si="5"/>
        <v>4</v>
      </c>
      <c r="M52" t="s">
        <v>26</v>
      </c>
      <c r="N52" t="s">
        <v>27</v>
      </c>
      <c r="O52">
        <v>900</v>
      </c>
      <c r="P52">
        <v>1000</v>
      </c>
      <c r="Q52">
        <v>600</v>
      </c>
      <c r="R52">
        <v>0</v>
      </c>
      <c r="S52" t="s">
        <v>28</v>
      </c>
      <c r="T52" t="s">
        <v>29</v>
      </c>
      <c r="U52">
        <v>2500</v>
      </c>
      <c r="V52">
        <v>0</v>
      </c>
      <c r="W52">
        <v>4.5</v>
      </c>
      <c r="X52" t="s">
        <v>409</v>
      </c>
      <c r="Y52" t="s">
        <v>610</v>
      </c>
      <c r="Z52" s="1">
        <v>45761</v>
      </c>
      <c r="AA52" s="1">
        <f>Table1[[#This Row],[Admission_Date]]+Table1[[#This Row],[Length_of_Stay]]</f>
        <v>45761</v>
      </c>
      <c r="AB52" t="str">
        <f t="shared" ca="1" si="6"/>
        <v>N/A</v>
      </c>
      <c r="AC52" t="str">
        <f ca="1">IF(AB52="General Ward","GW"&amp;TEXT(COUNTIF($AB$2:AB52,"General Ward"),"000"),IF(AB52="Semi Private","SP"&amp;TEXT(COUNTIF($AB$2:AB52,"Semi Private"),"000"),IF(AB52="Private Room","PR"&amp;TEXT(COUNTIF($AB$2:AB52,"Private Room"),"000"),IF(AB52="ICU","ICU"&amp;TEXT(COUNTIF($AB$2:AB52,"ICU"),"000"),"N/A"))))</f>
        <v>N/A</v>
      </c>
      <c r="AD52" t="str">
        <f t="shared" ca="1" si="4"/>
        <v>Not Admitted</v>
      </c>
      <c r="AE52" s="2" t="str">
        <f t="shared" ca="1" si="7"/>
        <v>N/A</v>
      </c>
    </row>
    <row r="53" spans="1:31" x14ac:dyDescent="0.3">
      <c r="A53" t="s">
        <v>173</v>
      </c>
      <c r="B53" t="s">
        <v>174</v>
      </c>
      <c r="C53" t="s">
        <v>32</v>
      </c>
      <c r="D53">
        <v>49</v>
      </c>
      <c r="E53" t="str" cm="1">
        <f t="array" aca="1" ref="E53" ca="1">_xlfn.IFS(
H53="Cardiology",CHOOSE(RANDBETWEEN(1,6),"Hypertension","Arrhythmia","Angina","Heart Failure","Chest Pain","Coronary Artery Disease"),
H53="General Medicine",CHOOSE(RANDBETWEEN(1,6),"Viral Fever","Influenza","Diabetes","Gastritis","Typhoid","Food Poisoning"),
H53="Orthopedics",CHOOSE(RANDBETWEEN(1,6),"Fracture","Arthritis","Back Pain","Joint Pain","Knee Injury","Shoulder Dislocation"),
H53="Neurology",CHOOSE(RANDBETWEEN(1,6),"Migraine","Stroke","Epilepsy","Vertigo","Parkinson's Disease","Peripheral Neuropathy"),
H53="Pediatrics",CHOOSE(RANDBETWEEN(1,6),"Common Cold","Asthma","Pneumonia","Ear Infection","Viral Fever","Stomach Infection"),
H53="Dermatology",CHOOSE(RANDBETWEEN(1,6),"Acne","Eczema","Psoriasis","Fungal Infection","Heat Rash","Contact Dermatitis"),
H53="ENT",CHOOSE(RANDBETWEEN(1,6),"Sinusitis","Tonsillitis","Ear Infection","Throat Infection","Allergic Rhinitis","Otitis Media"),
H53="Gynecology",CHOOSE(RANDBETWEEN(1,6),"PCOS","UTI","Pregnancy Checkup","Menstrual Disorder","Ovarian Cyst","Endometriosis")
)</f>
        <v>Influenza</v>
      </c>
      <c r="F53" t="str" cm="1">
        <f t="array" ref="F53">_xlfn.SWITCH(K53,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53" t="s">
        <v>33</v>
      </c>
      <c r="H53" t="s">
        <v>73</v>
      </c>
      <c r="I53" t="s">
        <v>74</v>
      </c>
      <c r="J53" s="1">
        <v>45762</v>
      </c>
      <c r="K53" t="str">
        <f t="shared" si="3"/>
        <v>April</v>
      </c>
      <c r="L53">
        <f t="shared" si="5"/>
        <v>4</v>
      </c>
      <c r="M53" t="s">
        <v>26</v>
      </c>
      <c r="N53" t="s">
        <v>27</v>
      </c>
      <c r="O53">
        <v>800</v>
      </c>
      <c r="P53">
        <v>900</v>
      </c>
      <c r="Q53">
        <v>700</v>
      </c>
      <c r="R53">
        <v>0</v>
      </c>
      <c r="S53" t="s">
        <v>28</v>
      </c>
      <c r="T53" t="s">
        <v>50</v>
      </c>
      <c r="U53">
        <v>2400</v>
      </c>
      <c r="V53">
        <v>0</v>
      </c>
      <c r="W53">
        <v>4.5999999999999996</v>
      </c>
      <c r="X53" t="s">
        <v>410</v>
      </c>
      <c r="Y53" t="s">
        <v>611</v>
      </c>
      <c r="Z53" s="1">
        <v>45762</v>
      </c>
      <c r="AA53" s="1">
        <f>Table1[[#This Row],[Admission_Date]]+Table1[[#This Row],[Length_of_Stay]]</f>
        <v>45762</v>
      </c>
      <c r="AB53" t="str">
        <f t="shared" ca="1" si="6"/>
        <v>N/A</v>
      </c>
      <c r="AC53" t="str">
        <f ca="1">IF(AB53="General Ward","GW"&amp;TEXT(COUNTIF($AB$2:AB53,"General Ward"),"000"),IF(AB53="Semi Private","SP"&amp;TEXT(COUNTIF($AB$2:AB53,"Semi Private"),"000"),IF(AB53="Private Room","PR"&amp;TEXT(COUNTIF($AB$2:AB53,"Private Room"),"000"),IF(AB53="ICU","ICU"&amp;TEXT(COUNTIF($AB$2:AB53,"ICU"),"000"),"N/A"))))</f>
        <v>N/A</v>
      </c>
      <c r="AD53" t="str">
        <f t="shared" ca="1" si="4"/>
        <v>Not Admitted</v>
      </c>
      <c r="AE53" s="2" t="str">
        <f t="shared" ca="1" si="7"/>
        <v>N/A</v>
      </c>
    </row>
    <row r="54" spans="1:31" x14ac:dyDescent="0.3">
      <c r="A54" t="s">
        <v>175</v>
      </c>
      <c r="B54" t="s">
        <v>176</v>
      </c>
      <c r="C54" t="s">
        <v>32</v>
      </c>
      <c r="D54">
        <v>19</v>
      </c>
      <c r="E54" t="str" cm="1">
        <f t="array" aca="1" ref="E54" ca="1">_xlfn.IFS(
H54="Cardiology",CHOOSE(RANDBETWEEN(1,6),"Hypertension","Arrhythmia","Angina","Heart Failure","Chest Pain","Coronary Artery Disease"),
H54="General Medicine",CHOOSE(RANDBETWEEN(1,6),"Viral Fever","Influenza","Diabetes","Gastritis","Typhoid","Food Poisoning"),
H54="Orthopedics",CHOOSE(RANDBETWEEN(1,6),"Fracture","Arthritis","Back Pain","Joint Pain","Knee Injury","Shoulder Dislocation"),
H54="Neurology",CHOOSE(RANDBETWEEN(1,6),"Migraine","Stroke","Epilepsy","Vertigo","Parkinson's Disease","Peripheral Neuropathy"),
H54="Pediatrics",CHOOSE(RANDBETWEEN(1,6),"Common Cold","Asthma","Pneumonia","Ear Infection","Viral Fever","Stomach Infection"),
H54="Dermatology",CHOOSE(RANDBETWEEN(1,6),"Acne","Eczema","Psoriasis","Fungal Infection","Heat Rash","Contact Dermatitis"),
H54="ENT",CHOOSE(RANDBETWEEN(1,6),"Sinusitis","Tonsillitis","Ear Infection","Throat Infection","Allergic Rhinitis","Otitis Media"),
H54="Gynecology",CHOOSE(RANDBETWEEN(1,6),"PCOS","UTI","Pregnancy Checkup","Menstrual Disorder","Ovarian Cyst","Endometriosis")
)</f>
        <v>Common Cold</v>
      </c>
      <c r="F54" t="str" cm="1">
        <f t="array" ref="F54">_xlfn.SWITCH(K54,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54" t="s">
        <v>40</v>
      </c>
      <c r="H54" t="s">
        <v>48</v>
      </c>
      <c r="I54" t="s">
        <v>49</v>
      </c>
      <c r="J54" s="1">
        <v>45763</v>
      </c>
      <c r="K54" t="str">
        <f t="shared" si="3"/>
        <v>April</v>
      </c>
      <c r="L54">
        <f t="shared" si="5"/>
        <v>4</v>
      </c>
      <c r="M54" t="s">
        <v>26</v>
      </c>
      <c r="N54" t="s">
        <v>27</v>
      </c>
      <c r="O54">
        <v>700</v>
      </c>
      <c r="P54">
        <v>500</v>
      </c>
      <c r="Q54">
        <v>400</v>
      </c>
      <c r="R54">
        <v>0</v>
      </c>
      <c r="S54" t="s">
        <v>28</v>
      </c>
      <c r="T54" t="s">
        <v>44</v>
      </c>
      <c r="U54">
        <v>1600</v>
      </c>
      <c r="V54">
        <v>0</v>
      </c>
      <c r="W54">
        <v>4.8</v>
      </c>
      <c r="X54" t="s">
        <v>411</v>
      </c>
      <c r="Y54" t="s">
        <v>612</v>
      </c>
      <c r="Z54" s="1">
        <v>45763</v>
      </c>
      <c r="AA54" s="1">
        <f>Table1[[#This Row],[Admission_Date]]+Table1[[#This Row],[Length_of_Stay]]</f>
        <v>45763</v>
      </c>
      <c r="AB54" t="str">
        <f t="shared" ca="1" si="6"/>
        <v>N/A</v>
      </c>
      <c r="AC54" t="str">
        <f ca="1">IF(AB54="General Ward","GW"&amp;TEXT(COUNTIF($AB$2:AB54,"General Ward"),"000"),IF(AB54="Semi Private","SP"&amp;TEXT(COUNTIF($AB$2:AB54,"Semi Private"),"000"),IF(AB54="Private Room","PR"&amp;TEXT(COUNTIF($AB$2:AB54,"Private Room"),"000"),IF(AB54="ICU","ICU"&amp;TEXT(COUNTIF($AB$2:AB54,"ICU"),"000"),"N/A"))))</f>
        <v>N/A</v>
      </c>
      <c r="AD54" t="str">
        <f t="shared" ca="1" si="4"/>
        <v>Not Admitted</v>
      </c>
      <c r="AE54" s="2" t="str">
        <f t="shared" ca="1" si="7"/>
        <v>N/A</v>
      </c>
    </row>
    <row r="55" spans="1:31" x14ac:dyDescent="0.3">
      <c r="A55" t="s">
        <v>177</v>
      </c>
      <c r="B55" t="s">
        <v>178</v>
      </c>
      <c r="C55" t="s">
        <v>22</v>
      </c>
      <c r="D55">
        <v>63</v>
      </c>
      <c r="E55" t="str" cm="1">
        <f t="array" aca="1" ref="E55" ca="1">_xlfn.IFS(
H55="Cardiology",CHOOSE(RANDBETWEEN(1,6),"Hypertension","Arrhythmia","Angina","Heart Failure","Chest Pain","Coronary Artery Disease"),
H55="General Medicine",CHOOSE(RANDBETWEEN(1,6),"Viral Fever","Influenza","Diabetes","Gastritis","Typhoid","Food Poisoning"),
H55="Orthopedics",CHOOSE(RANDBETWEEN(1,6),"Fracture","Arthritis","Back Pain","Joint Pain","Knee Injury","Shoulder Dislocation"),
H55="Neurology",CHOOSE(RANDBETWEEN(1,6),"Migraine","Stroke","Epilepsy","Vertigo","Parkinson's Disease","Peripheral Neuropathy"),
H55="Pediatrics",CHOOSE(RANDBETWEEN(1,6),"Common Cold","Asthma","Pneumonia","Ear Infection","Viral Fever","Stomach Infection"),
H55="Dermatology",CHOOSE(RANDBETWEEN(1,6),"Acne","Eczema","Psoriasis","Fungal Infection","Heat Rash","Contact Dermatitis"),
H55="ENT",CHOOSE(RANDBETWEEN(1,6),"Sinusitis","Tonsillitis","Ear Infection","Throat Infection","Allergic Rhinitis","Otitis Media"),
H55="Gynecology",CHOOSE(RANDBETWEEN(1,6),"PCOS","UTI","Pregnancy Checkup","Menstrual Disorder","Ovarian Cyst","Endometriosis")
)</f>
        <v>Parkinson's Disease</v>
      </c>
      <c r="F55" t="str" cm="1">
        <f t="array" ref="F55">_xlfn.SWITCH(K55,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55" t="s">
        <v>53</v>
      </c>
      <c r="H55" t="s">
        <v>54</v>
      </c>
      <c r="I55" t="s">
        <v>55</v>
      </c>
      <c r="J55" s="1">
        <v>45764</v>
      </c>
      <c r="K55" t="str">
        <f t="shared" si="3"/>
        <v>April</v>
      </c>
      <c r="L55">
        <f t="shared" si="5"/>
        <v>4</v>
      </c>
      <c r="M55" t="s">
        <v>26</v>
      </c>
      <c r="N55" t="s">
        <v>36</v>
      </c>
      <c r="O55">
        <v>2100</v>
      </c>
      <c r="P55">
        <v>8500</v>
      </c>
      <c r="Q55">
        <v>4500</v>
      </c>
      <c r="R55">
        <v>26000</v>
      </c>
      <c r="S55" t="s">
        <v>37</v>
      </c>
      <c r="T55" t="s">
        <v>15</v>
      </c>
      <c r="U55">
        <v>41100</v>
      </c>
      <c r="V55">
        <v>7</v>
      </c>
      <c r="W55">
        <v>5</v>
      </c>
      <c r="X55" t="s">
        <v>412</v>
      </c>
      <c r="Y55" t="s">
        <v>613</v>
      </c>
      <c r="Z55" s="1">
        <v>45764</v>
      </c>
      <c r="AA55" s="1">
        <f>Table1[[#This Row],[Admission_Date]]+Table1[[#This Row],[Length_of_Stay]]</f>
        <v>45771</v>
      </c>
      <c r="AB55" t="str">
        <f t="shared" ca="1" si="6"/>
        <v>Private Room</v>
      </c>
      <c r="AC55" t="str">
        <f ca="1">IF(AB55="General Ward","GW"&amp;TEXT(COUNTIF($AB$2:AB55,"General Ward"),"000"),IF(AB55="Semi Private","SP"&amp;TEXT(COUNTIF($AB$2:AB55,"Semi Private"),"000"),IF(AB55="Private Room","PR"&amp;TEXT(COUNTIF($AB$2:AB55,"Private Room"),"000"),IF(AB55="ICU","ICU"&amp;TEXT(COUNTIF($AB$2:AB55,"ICU"),"000"),"N/A"))))</f>
        <v>PR007</v>
      </c>
      <c r="AD55" t="str">
        <f t="shared" ca="1" si="4"/>
        <v>Available</v>
      </c>
      <c r="AE55" s="2" t="str">
        <f t="shared" ca="1" si="7"/>
        <v>Referral</v>
      </c>
    </row>
    <row r="56" spans="1:31" x14ac:dyDescent="0.3">
      <c r="A56" t="s">
        <v>179</v>
      </c>
      <c r="B56" t="s">
        <v>180</v>
      </c>
      <c r="C56" t="s">
        <v>32</v>
      </c>
      <c r="D56">
        <v>36</v>
      </c>
      <c r="E56" t="str" cm="1">
        <f t="array" aca="1" ref="E56" ca="1">_xlfn.IFS(
H56="Cardiology",CHOOSE(RANDBETWEEN(1,6),"Hypertension","Arrhythmia","Angina","Heart Failure","Chest Pain","Coronary Artery Disease"),
H56="General Medicine",CHOOSE(RANDBETWEEN(1,6),"Viral Fever","Influenza","Diabetes","Gastritis","Typhoid","Food Poisoning"),
H56="Orthopedics",CHOOSE(RANDBETWEEN(1,6),"Fracture","Arthritis","Back Pain","Joint Pain","Knee Injury","Shoulder Dislocation"),
H56="Neurology",CHOOSE(RANDBETWEEN(1,6),"Migraine","Stroke","Epilepsy","Vertigo","Parkinson's Disease","Peripheral Neuropathy"),
H56="Pediatrics",CHOOSE(RANDBETWEEN(1,6),"Common Cold","Asthma","Pneumonia","Ear Infection","Viral Fever","Stomach Infection"),
H56="Dermatology",CHOOSE(RANDBETWEEN(1,6),"Acne","Eczema","Psoriasis","Fungal Infection","Heat Rash","Contact Dermatitis"),
H56="ENT",CHOOSE(RANDBETWEEN(1,6),"Sinusitis","Tonsillitis","Ear Infection","Throat Infection","Allergic Rhinitis","Otitis Media"),
H56="Gynecology",CHOOSE(RANDBETWEEN(1,6),"PCOS","UTI","Pregnancy Checkup","Menstrual Disorder","Ovarian Cyst","Endometriosis")
)</f>
        <v>Endometriosis</v>
      </c>
      <c r="F56" t="str" cm="1">
        <f t="array" ref="F56">_xlfn.SWITCH(K56,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56" t="s">
        <v>68</v>
      </c>
      <c r="H56" t="s">
        <v>34</v>
      </c>
      <c r="I56" t="s">
        <v>96</v>
      </c>
      <c r="J56" s="1">
        <v>45765</v>
      </c>
      <c r="K56" t="str">
        <f t="shared" si="3"/>
        <v>April</v>
      </c>
      <c r="L56">
        <f t="shared" si="5"/>
        <v>4</v>
      </c>
      <c r="M56" t="s">
        <v>26</v>
      </c>
      <c r="N56" t="s">
        <v>27</v>
      </c>
      <c r="O56">
        <v>1200</v>
      </c>
      <c r="P56">
        <v>1000</v>
      </c>
      <c r="Q56">
        <v>800</v>
      </c>
      <c r="R56">
        <v>0</v>
      </c>
      <c r="S56" t="s">
        <v>28</v>
      </c>
      <c r="T56" t="s">
        <v>29</v>
      </c>
      <c r="U56">
        <v>3000</v>
      </c>
      <c r="V56">
        <v>0</v>
      </c>
      <c r="W56">
        <v>4.7</v>
      </c>
      <c r="X56" t="s">
        <v>413</v>
      </c>
      <c r="Y56" t="s">
        <v>614</v>
      </c>
      <c r="Z56" s="1">
        <v>45765</v>
      </c>
      <c r="AA56" s="1">
        <f>Table1[[#This Row],[Admission_Date]]+Table1[[#This Row],[Length_of_Stay]]</f>
        <v>45765</v>
      </c>
      <c r="AB56" t="str">
        <f t="shared" ca="1" si="6"/>
        <v>N/A</v>
      </c>
      <c r="AC56" t="str">
        <f ca="1">IF(AB56="General Ward","GW"&amp;TEXT(COUNTIF($AB$2:AB56,"General Ward"),"000"),IF(AB56="Semi Private","SP"&amp;TEXT(COUNTIF($AB$2:AB56,"Semi Private"),"000"),IF(AB56="Private Room","PR"&amp;TEXT(COUNTIF($AB$2:AB56,"Private Room"),"000"),IF(AB56="ICU","ICU"&amp;TEXT(COUNTIF($AB$2:AB56,"ICU"),"000"),"N/A"))))</f>
        <v>N/A</v>
      </c>
      <c r="AD56" t="str">
        <f t="shared" ca="1" si="4"/>
        <v>Not Admitted</v>
      </c>
      <c r="AE56" s="2" t="str">
        <f t="shared" ca="1" si="7"/>
        <v>N/A</v>
      </c>
    </row>
    <row r="57" spans="1:31" x14ac:dyDescent="0.3">
      <c r="A57" t="s">
        <v>181</v>
      </c>
      <c r="B57" t="s">
        <v>182</v>
      </c>
      <c r="C57" t="s">
        <v>22</v>
      </c>
      <c r="D57">
        <v>42</v>
      </c>
      <c r="E57" t="str" cm="1">
        <f t="array" aca="1" ref="E57" ca="1">_xlfn.IFS(
H57="Cardiology",CHOOSE(RANDBETWEEN(1,6),"Hypertension","Arrhythmia","Angina","Heart Failure","Chest Pain","Coronary Artery Disease"),
H57="General Medicine",CHOOSE(RANDBETWEEN(1,6),"Viral Fever","Influenza","Diabetes","Gastritis","Typhoid","Food Poisoning"),
H57="Orthopedics",CHOOSE(RANDBETWEEN(1,6),"Fracture","Arthritis","Back Pain","Joint Pain","Knee Injury","Shoulder Dislocation"),
H57="Neurology",CHOOSE(RANDBETWEEN(1,6),"Migraine","Stroke","Epilepsy","Vertigo","Parkinson's Disease","Peripheral Neuropathy"),
H57="Pediatrics",CHOOSE(RANDBETWEEN(1,6),"Common Cold","Asthma","Pneumonia","Ear Infection","Viral Fever","Stomach Infection"),
H57="Dermatology",CHOOSE(RANDBETWEEN(1,6),"Acne","Eczema","Psoriasis","Fungal Infection","Heat Rash","Contact Dermatitis"),
H57="ENT",CHOOSE(RANDBETWEEN(1,6),"Sinusitis","Tonsillitis","Ear Infection","Throat Infection","Allergic Rhinitis","Otitis Media"),
H57="Gynecology",CHOOSE(RANDBETWEEN(1,6),"PCOS","UTI","Pregnancy Checkup","Menstrual Disorder","Ovarian Cyst","Endometriosis")
)</f>
        <v>Knee Injury</v>
      </c>
      <c r="F57" t="str" cm="1">
        <f t="array" ref="F57">_xlfn.SWITCH(K57,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57" t="s">
        <v>72</v>
      </c>
      <c r="H57" t="s">
        <v>41</v>
      </c>
      <c r="I57" t="s">
        <v>42</v>
      </c>
      <c r="J57" s="1">
        <v>45766</v>
      </c>
      <c r="K57" t="str">
        <f t="shared" si="3"/>
        <v>April</v>
      </c>
      <c r="L57">
        <f t="shared" si="5"/>
        <v>4</v>
      </c>
      <c r="M57" t="s">
        <v>43</v>
      </c>
      <c r="N57" t="s">
        <v>27</v>
      </c>
      <c r="O57">
        <v>1400</v>
      </c>
      <c r="P57">
        <v>1800</v>
      </c>
      <c r="Q57">
        <v>1000</v>
      </c>
      <c r="R57">
        <v>0</v>
      </c>
      <c r="S57" t="s">
        <v>28</v>
      </c>
      <c r="T57" t="s">
        <v>50</v>
      </c>
      <c r="U57">
        <v>4200</v>
      </c>
      <c r="V57">
        <v>0</v>
      </c>
      <c r="W57">
        <v>4.3</v>
      </c>
      <c r="X57" t="s">
        <v>414</v>
      </c>
      <c r="Y57" t="s">
        <v>615</v>
      </c>
      <c r="Z57" s="1">
        <v>45766</v>
      </c>
      <c r="AA57" s="1">
        <f>Table1[[#This Row],[Admission_Date]]+Table1[[#This Row],[Length_of_Stay]]</f>
        <v>45766</v>
      </c>
      <c r="AB57" t="str">
        <f t="shared" ca="1" si="6"/>
        <v>N/A</v>
      </c>
      <c r="AC57" t="str">
        <f ca="1">IF(AB57="General Ward","GW"&amp;TEXT(COUNTIF($AB$2:AB57,"General Ward"),"000"),IF(AB57="Semi Private","SP"&amp;TEXT(COUNTIF($AB$2:AB57,"Semi Private"),"000"),IF(AB57="Private Room","PR"&amp;TEXT(COUNTIF($AB$2:AB57,"Private Room"),"000"),IF(AB57="ICU","ICU"&amp;TEXT(COUNTIF($AB$2:AB57,"ICU"),"000"),"N/A"))))</f>
        <v>N/A</v>
      </c>
      <c r="AD57" t="str">
        <f t="shared" ca="1" si="4"/>
        <v>Not Admitted</v>
      </c>
      <c r="AE57" s="2" t="str">
        <f t="shared" ca="1" si="7"/>
        <v>N/A</v>
      </c>
    </row>
    <row r="58" spans="1:31" x14ac:dyDescent="0.3">
      <c r="A58" t="s">
        <v>183</v>
      </c>
      <c r="B58" t="s">
        <v>184</v>
      </c>
      <c r="C58" t="s">
        <v>32</v>
      </c>
      <c r="D58">
        <v>27</v>
      </c>
      <c r="E58" t="str" cm="1">
        <f t="array" aca="1" ref="E58" ca="1">_xlfn.IFS(
H58="Cardiology",CHOOSE(RANDBETWEEN(1,6),"Hypertension","Arrhythmia","Angina","Heart Failure","Chest Pain","Coronary Artery Disease"),
H58="General Medicine",CHOOSE(RANDBETWEEN(1,6),"Viral Fever","Influenza","Diabetes","Gastritis","Typhoid","Food Poisoning"),
H58="Orthopedics",CHOOSE(RANDBETWEEN(1,6),"Fracture","Arthritis","Back Pain","Joint Pain","Knee Injury","Shoulder Dislocation"),
H58="Neurology",CHOOSE(RANDBETWEEN(1,6),"Migraine","Stroke","Epilepsy","Vertigo","Parkinson's Disease","Peripheral Neuropathy"),
H58="Pediatrics",CHOOSE(RANDBETWEEN(1,6),"Common Cold","Asthma","Pneumonia","Ear Infection","Viral Fever","Stomach Infection"),
H58="Dermatology",CHOOSE(RANDBETWEEN(1,6),"Acne","Eczema","Psoriasis","Fungal Infection","Heat Rash","Contact Dermatitis"),
H58="ENT",CHOOSE(RANDBETWEEN(1,6),"Sinusitis","Tonsillitis","Ear Infection","Throat Infection","Allergic Rhinitis","Otitis Media"),
H58="Gynecology",CHOOSE(RANDBETWEEN(1,6),"PCOS","UTI","Pregnancy Checkup","Menstrual Disorder","Ovarian Cyst","Endometriosis")
)</f>
        <v>Contact Dermatitis</v>
      </c>
      <c r="F58" t="str" cm="1">
        <f t="array" ref="F58">_xlfn.SWITCH(K58,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58" t="s">
        <v>63</v>
      </c>
      <c r="H58" t="s">
        <v>58</v>
      </c>
      <c r="I58" t="s">
        <v>84</v>
      </c>
      <c r="J58" s="1">
        <v>45767</v>
      </c>
      <c r="K58" t="str">
        <f t="shared" si="3"/>
        <v>April</v>
      </c>
      <c r="L58">
        <f t="shared" si="5"/>
        <v>4</v>
      </c>
      <c r="M58" t="s">
        <v>26</v>
      </c>
      <c r="N58" t="s">
        <v>27</v>
      </c>
      <c r="O58">
        <v>900</v>
      </c>
      <c r="P58">
        <v>600</v>
      </c>
      <c r="Q58">
        <v>500</v>
      </c>
      <c r="R58">
        <v>0</v>
      </c>
      <c r="S58" t="s">
        <v>28</v>
      </c>
      <c r="T58" t="s">
        <v>44</v>
      </c>
      <c r="U58">
        <v>2000</v>
      </c>
      <c r="V58">
        <v>0</v>
      </c>
      <c r="W58">
        <v>4.5999999999999996</v>
      </c>
      <c r="X58" t="s">
        <v>415</v>
      </c>
      <c r="Y58" t="s">
        <v>616</v>
      </c>
      <c r="Z58" s="1">
        <v>45767</v>
      </c>
      <c r="AA58" s="1">
        <f>Table1[[#This Row],[Admission_Date]]+Table1[[#This Row],[Length_of_Stay]]</f>
        <v>45767</v>
      </c>
      <c r="AB58" t="str">
        <f t="shared" ca="1" si="6"/>
        <v>N/A</v>
      </c>
      <c r="AC58" t="str">
        <f ca="1">IF(AB58="General Ward","GW"&amp;TEXT(COUNTIF($AB$2:AB58,"General Ward"),"000"),IF(AB58="Semi Private","SP"&amp;TEXT(COUNTIF($AB$2:AB58,"Semi Private"),"000"),IF(AB58="Private Room","PR"&amp;TEXT(COUNTIF($AB$2:AB58,"Private Room"),"000"),IF(AB58="ICU","ICU"&amp;TEXT(COUNTIF($AB$2:AB58,"ICU"),"000"),"N/A"))))</f>
        <v>N/A</v>
      </c>
      <c r="AD58" t="str">
        <f t="shared" ca="1" si="4"/>
        <v>Not Admitted</v>
      </c>
      <c r="AE58" s="2" t="str">
        <f t="shared" ca="1" si="7"/>
        <v>N/A</v>
      </c>
    </row>
    <row r="59" spans="1:31" x14ac:dyDescent="0.3">
      <c r="A59" t="s">
        <v>185</v>
      </c>
      <c r="B59" t="s">
        <v>186</v>
      </c>
      <c r="C59" t="s">
        <v>22</v>
      </c>
      <c r="D59">
        <v>51</v>
      </c>
      <c r="E59" t="str" cm="1">
        <f t="array" aca="1" ref="E59" ca="1">_xlfn.IFS(
H59="Cardiology",CHOOSE(RANDBETWEEN(1,6),"Hypertension","Arrhythmia","Angina","Heart Failure","Chest Pain","Coronary Artery Disease"),
H59="General Medicine",CHOOSE(RANDBETWEEN(1,6),"Viral Fever","Influenza","Diabetes","Gastritis","Typhoid","Food Poisoning"),
H59="Orthopedics",CHOOSE(RANDBETWEEN(1,6),"Fracture","Arthritis","Back Pain","Joint Pain","Knee Injury","Shoulder Dislocation"),
H59="Neurology",CHOOSE(RANDBETWEEN(1,6),"Migraine","Stroke","Epilepsy","Vertigo","Parkinson's Disease","Peripheral Neuropathy"),
H59="Pediatrics",CHOOSE(RANDBETWEEN(1,6),"Common Cold","Asthma","Pneumonia","Ear Infection","Viral Fever","Stomach Infection"),
H59="Dermatology",CHOOSE(RANDBETWEEN(1,6),"Acne","Eczema","Psoriasis","Fungal Infection","Heat Rash","Contact Dermatitis"),
H59="ENT",CHOOSE(RANDBETWEEN(1,6),"Sinusitis","Tonsillitis","Ear Infection","Throat Infection","Allergic Rhinitis","Otitis Media"),
H59="Gynecology",CHOOSE(RANDBETWEEN(1,6),"PCOS","UTI","Pregnancy Checkup","Menstrual Disorder","Ovarian Cyst","Endometriosis")
)</f>
        <v>Arrhythmia</v>
      </c>
      <c r="F59" t="str" cm="1">
        <f t="array" ref="F59">_xlfn.SWITCH(K59,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59" t="s">
        <v>77</v>
      </c>
      <c r="H59" t="s">
        <v>24</v>
      </c>
      <c r="I59" t="s">
        <v>93</v>
      </c>
      <c r="J59" s="1">
        <v>45768</v>
      </c>
      <c r="K59" t="str">
        <f t="shared" si="3"/>
        <v>April</v>
      </c>
      <c r="L59">
        <f t="shared" si="5"/>
        <v>4</v>
      </c>
      <c r="M59" t="s">
        <v>26</v>
      </c>
      <c r="N59" t="s">
        <v>36</v>
      </c>
      <c r="O59">
        <v>1800</v>
      </c>
      <c r="P59">
        <v>6000</v>
      </c>
      <c r="Q59">
        <v>3500</v>
      </c>
      <c r="R59">
        <v>22000</v>
      </c>
      <c r="S59" t="s">
        <v>37</v>
      </c>
      <c r="T59" t="s">
        <v>15</v>
      </c>
      <c r="U59">
        <v>33300</v>
      </c>
      <c r="V59">
        <v>5</v>
      </c>
      <c r="W59">
        <v>4.9000000000000004</v>
      </c>
      <c r="X59" t="s">
        <v>416</v>
      </c>
      <c r="Y59" t="s">
        <v>617</v>
      </c>
      <c r="Z59" s="1">
        <v>45768</v>
      </c>
      <c r="AA59" s="1">
        <f>Table1[[#This Row],[Admission_Date]]+Table1[[#This Row],[Length_of_Stay]]</f>
        <v>45773</v>
      </c>
      <c r="AB59" t="str">
        <f t="shared" ca="1" si="6"/>
        <v>ICU</v>
      </c>
      <c r="AC59" t="str">
        <f ca="1">IF(AB59="General Ward","GW"&amp;TEXT(COUNTIF($AB$2:AB59,"General Ward"),"000"),IF(AB59="Semi Private","SP"&amp;TEXT(COUNTIF($AB$2:AB59,"Semi Private"),"000"),IF(AB59="Private Room","PR"&amp;TEXT(COUNTIF($AB$2:AB59,"Private Room"),"000"),IF(AB59="ICU","ICU"&amp;TEXT(COUNTIF($AB$2:AB59,"ICU"),"000"),"N/A"))))</f>
        <v>ICU003</v>
      </c>
      <c r="AD59" t="str">
        <f t="shared" ca="1" si="4"/>
        <v>Occupied</v>
      </c>
      <c r="AE59" s="2" t="str">
        <f t="shared" ca="1" si="7"/>
        <v>Scheduled</v>
      </c>
    </row>
    <row r="60" spans="1:31" x14ac:dyDescent="0.3">
      <c r="A60" t="s">
        <v>187</v>
      </c>
      <c r="B60" t="s">
        <v>188</v>
      </c>
      <c r="C60" t="s">
        <v>32</v>
      </c>
      <c r="D60">
        <v>30</v>
      </c>
      <c r="E60" t="str" cm="1">
        <f t="array" aca="1" ref="E60" ca="1">_xlfn.IFS(
H60="Cardiology",CHOOSE(RANDBETWEEN(1,6),"Hypertension","Arrhythmia","Angina","Heart Failure","Chest Pain","Coronary Artery Disease"),
H60="General Medicine",CHOOSE(RANDBETWEEN(1,6),"Viral Fever","Influenza","Diabetes","Gastritis","Typhoid","Food Poisoning"),
H60="Orthopedics",CHOOSE(RANDBETWEEN(1,6),"Fracture","Arthritis","Back Pain","Joint Pain","Knee Injury","Shoulder Dislocation"),
H60="Neurology",CHOOSE(RANDBETWEEN(1,6),"Migraine","Stroke","Epilepsy","Vertigo","Parkinson's Disease","Peripheral Neuropathy"),
H60="Pediatrics",CHOOSE(RANDBETWEEN(1,6),"Common Cold","Asthma","Pneumonia","Ear Infection","Viral Fever","Stomach Infection"),
H60="Dermatology",CHOOSE(RANDBETWEEN(1,6),"Acne","Eczema","Psoriasis","Fungal Infection","Heat Rash","Contact Dermatitis"),
H60="ENT",CHOOSE(RANDBETWEEN(1,6),"Sinusitis","Tonsillitis","Ear Infection","Throat Infection","Allergic Rhinitis","Otitis Media"),
H60="Gynecology",CHOOSE(RANDBETWEEN(1,6),"PCOS","UTI","Pregnancy Checkup","Menstrual Disorder","Ovarian Cyst","Endometriosis")
)</f>
        <v>Sinusitis</v>
      </c>
      <c r="F60" t="str" cm="1">
        <f t="array" ref="F60">_xlfn.SWITCH(K60,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60" t="s">
        <v>23</v>
      </c>
      <c r="H60" t="s">
        <v>64</v>
      </c>
      <c r="I60" t="s">
        <v>99</v>
      </c>
      <c r="J60" s="1">
        <v>45769</v>
      </c>
      <c r="K60" t="str">
        <f t="shared" si="3"/>
        <v>April</v>
      </c>
      <c r="L60">
        <f t="shared" si="5"/>
        <v>4</v>
      </c>
      <c r="M60" t="s">
        <v>26</v>
      </c>
      <c r="N60" t="s">
        <v>27</v>
      </c>
      <c r="O60">
        <v>1000</v>
      </c>
      <c r="P60">
        <v>700</v>
      </c>
      <c r="Q60">
        <v>600</v>
      </c>
      <c r="R60">
        <v>0</v>
      </c>
      <c r="S60" t="s">
        <v>28</v>
      </c>
      <c r="T60" t="s">
        <v>29</v>
      </c>
      <c r="U60">
        <v>2300</v>
      </c>
      <c r="V60">
        <v>0</v>
      </c>
      <c r="W60">
        <v>4.5</v>
      </c>
      <c r="X60" t="s">
        <v>417</v>
      </c>
      <c r="Y60" t="s">
        <v>618</v>
      </c>
      <c r="Z60" s="1">
        <v>45769</v>
      </c>
      <c r="AA60" s="1">
        <f>Table1[[#This Row],[Admission_Date]]+Table1[[#This Row],[Length_of_Stay]]</f>
        <v>45769</v>
      </c>
      <c r="AB60" t="str">
        <f t="shared" ca="1" si="6"/>
        <v>N/A</v>
      </c>
      <c r="AC60" t="str">
        <f ca="1">IF(AB60="General Ward","GW"&amp;TEXT(COUNTIF($AB$2:AB60,"General Ward"),"000"),IF(AB60="Semi Private","SP"&amp;TEXT(COUNTIF($AB$2:AB60,"Semi Private"),"000"),IF(AB60="Private Room","PR"&amp;TEXT(COUNTIF($AB$2:AB60,"Private Room"),"000"),IF(AB60="ICU","ICU"&amp;TEXT(COUNTIF($AB$2:AB60,"ICU"),"000"),"N/A"))))</f>
        <v>N/A</v>
      </c>
      <c r="AD60" t="str">
        <f t="shared" ca="1" si="4"/>
        <v>Not Admitted</v>
      </c>
      <c r="AE60" s="2" t="str">
        <f t="shared" ca="1" si="7"/>
        <v>N/A</v>
      </c>
    </row>
    <row r="61" spans="1:31" x14ac:dyDescent="0.3">
      <c r="A61" t="s">
        <v>189</v>
      </c>
      <c r="B61" t="s">
        <v>190</v>
      </c>
      <c r="C61" t="s">
        <v>22</v>
      </c>
      <c r="D61">
        <v>45</v>
      </c>
      <c r="E61" t="str" cm="1">
        <f t="array" aca="1" ref="E61" ca="1">_xlfn.IFS(
H61="Cardiology",CHOOSE(RANDBETWEEN(1,6),"Hypertension","Arrhythmia","Angina","Heart Failure","Chest Pain","Coronary Artery Disease"),
H61="General Medicine",CHOOSE(RANDBETWEEN(1,6),"Viral Fever","Influenza","Diabetes","Gastritis","Typhoid","Food Poisoning"),
H61="Orthopedics",CHOOSE(RANDBETWEEN(1,6),"Fracture","Arthritis","Back Pain","Joint Pain","Knee Injury","Shoulder Dislocation"),
H61="Neurology",CHOOSE(RANDBETWEEN(1,6),"Migraine","Stroke","Epilepsy","Vertigo","Parkinson's Disease","Peripheral Neuropathy"),
H61="Pediatrics",CHOOSE(RANDBETWEEN(1,6),"Common Cold","Asthma","Pneumonia","Ear Infection","Viral Fever","Stomach Infection"),
H61="Dermatology",CHOOSE(RANDBETWEEN(1,6),"Acne","Eczema","Psoriasis","Fungal Infection","Heat Rash","Contact Dermatitis"),
H61="ENT",CHOOSE(RANDBETWEEN(1,6),"Sinusitis","Tonsillitis","Ear Infection","Throat Infection","Allergic Rhinitis","Otitis Media"),
H61="Gynecology",CHOOSE(RANDBETWEEN(1,6),"PCOS","UTI","Pregnancy Checkup","Menstrual Disorder","Ovarian Cyst","Endometriosis")
)</f>
        <v>Gastritis</v>
      </c>
      <c r="F61" t="str" cm="1">
        <f t="array" ref="F61">_xlfn.SWITCH(K61,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61" t="s">
        <v>33</v>
      </c>
      <c r="H61" t="s">
        <v>73</v>
      </c>
      <c r="I61" t="s">
        <v>90</v>
      </c>
      <c r="J61" s="1">
        <v>45770</v>
      </c>
      <c r="K61" t="str">
        <f t="shared" si="3"/>
        <v>April</v>
      </c>
      <c r="L61">
        <f t="shared" si="5"/>
        <v>4</v>
      </c>
      <c r="M61" t="s">
        <v>26</v>
      </c>
      <c r="N61" t="s">
        <v>27</v>
      </c>
      <c r="O61">
        <v>800</v>
      </c>
      <c r="P61">
        <v>1000</v>
      </c>
      <c r="Q61">
        <v>800</v>
      </c>
      <c r="R61">
        <v>0</v>
      </c>
      <c r="S61" t="s">
        <v>28</v>
      </c>
      <c r="T61" t="s">
        <v>50</v>
      </c>
      <c r="U61">
        <v>2600</v>
      </c>
      <c r="V61">
        <v>0</v>
      </c>
      <c r="W61">
        <v>4.5999999999999996</v>
      </c>
      <c r="X61" t="s">
        <v>418</v>
      </c>
      <c r="Y61" t="s">
        <v>619</v>
      </c>
      <c r="Z61" s="1">
        <v>45770</v>
      </c>
      <c r="AA61" s="1">
        <f>Table1[[#This Row],[Admission_Date]]+Table1[[#This Row],[Length_of_Stay]]</f>
        <v>45770</v>
      </c>
      <c r="AB61" t="str">
        <f t="shared" ca="1" si="6"/>
        <v>N/A</v>
      </c>
      <c r="AC61" t="str">
        <f ca="1">IF(AB61="General Ward","GW"&amp;TEXT(COUNTIF($AB$2:AB61,"General Ward"),"000"),IF(AB61="Semi Private","SP"&amp;TEXT(COUNTIF($AB$2:AB61,"Semi Private"),"000"),IF(AB61="Private Room","PR"&amp;TEXT(COUNTIF($AB$2:AB61,"Private Room"),"000"),IF(AB61="ICU","ICU"&amp;TEXT(COUNTIF($AB$2:AB61,"ICU"),"000"),"N/A"))))</f>
        <v>N/A</v>
      </c>
      <c r="AD61" t="str">
        <f t="shared" ca="1" si="4"/>
        <v>Not Admitted</v>
      </c>
      <c r="AE61" s="2" t="str">
        <f t="shared" ca="1" si="7"/>
        <v>N/A</v>
      </c>
    </row>
    <row r="62" spans="1:31" x14ac:dyDescent="0.3">
      <c r="A62" t="s">
        <v>191</v>
      </c>
      <c r="B62" t="s">
        <v>192</v>
      </c>
      <c r="C62" t="s">
        <v>22</v>
      </c>
      <c r="D62">
        <v>34</v>
      </c>
      <c r="E62" t="str" cm="1">
        <f t="array" aca="1" ref="E62" ca="1">_xlfn.IFS(
H62="Cardiology",CHOOSE(RANDBETWEEN(1,6),"Hypertension","Arrhythmia","Angina","Heart Failure","Chest Pain","Coronary Artery Disease"),
H62="General Medicine",CHOOSE(RANDBETWEEN(1,6),"Viral Fever","Influenza","Diabetes","Gastritis","Typhoid","Food Poisoning"),
H62="Orthopedics",CHOOSE(RANDBETWEEN(1,6),"Fracture","Arthritis","Back Pain","Joint Pain","Knee Injury","Shoulder Dislocation"),
H62="Neurology",CHOOSE(RANDBETWEEN(1,6),"Migraine","Stroke","Epilepsy","Vertigo","Parkinson's Disease","Peripheral Neuropathy"),
H62="Pediatrics",CHOOSE(RANDBETWEEN(1,6),"Common Cold","Asthma","Pneumonia","Ear Infection","Viral Fever","Stomach Infection"),
H62="Dermatology",CHOOSE(RANDBETWEEN(1,6),"Acne","Eczema","Psoriasis","Fungal Infection","Heat Rash","Contact Dermatitis"),
H62="ENT",CHOOSE(RANDBETWEEN(1,6),"Sinusitis","Tonsillitis","Ear Infection","Throat Infection","Allergic Rhinitis","Otitis Media"),
H62="Gynecology",CHOOSE(RANDBETWEEN(1,6),"PCOS","UTI","Pregnancy Checkup","Menstrual Disorder","Ovarian Cyst","Endometriosis")
)</f>
        <v>Heart Failure</v>
      </c>
      <c r="F62" t="str" cm="1">
        <f t="array" ref="F62">_xlfn.SWITCH(K62,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62" t="s">
        <v>23</v>
      </c>
      <c r="H62" t="s">
        <v>24</v>
      </c>
      <c r="I62" t="s">
        <v>25</v>
      </c>
      <c r="J62" s="1">
        <v>45771</v>
      </c>
      <c r="K62" t="str">
        <f t="shared" si="3"/>
        <v>April</v>
      </c>
      <c r="L62">
        <f t="shared" si="5"/>
        <v>4</v>
      </c>
      <c r="M62" t="s">
        <v>26</v>
      </c>
      <c r="N62" t="s">
        <v>27</v>
      </c>
      <c r="O62">
        <v>1200</v>
      </c>
      <c r="P62">
        <v>1500</v>
      </c>
      <c r="Q62">
        <v>900</v>
      </c>
      <c r="R62">
        <v>0</v>
      </c>
      <c r="S62" t="s">
        <v>28</v>
      </c>
      <c r="T62" t="s">
        <v>29</v>
      </c>
      <c r="U62">
        <v>3600</v>
      </c>
      <c r="V62">
        <v>0</v>
      </c>
      <c r="W62">
        <v>4.8</v>
      </c>
      <c r="X62" t="s">
        <v>419</v>
      </c>
      <c r="Y62" t="s">
        <v>620</v>
      </c>
      <c r="Z62" s="1">
        <v>45771</v>
      </c>
      <c r="AA62" s="1">
        <f>Table1[[#This Row],[Admission_Date]]+Table1[[#This Row],[Length_of_Stay]]</f>
        <v>45771</v>
      </c>
      <c r="AB62" t="str">
        <f t="shared" ca="1" si="6"/>
        <v>N/A</v>
      </c>
      <c r="AC62" t="str">
        <f ca="1">IF(AB62="General Ward","GW"&amp;TEXT(COUNTIF($AB$2:AB62,"General Ward"),"000"),IF(AB62="Semi Private","SP"&amp;TEXT(COUNTIF($AB$2:AB62,"Semi Private"),"000"),IF(AB62="Private Room","PR"&amp;TEXT(COUNTIF($AB$2:AB62,"Private Room"),"000"),IF(AB62="ICU","ICU"&amp;TEXT(COUNTIF($AB$2:AB62,"ICU"),"000"),"N/A"))))</f>
        <v>N/A</v>
      </c>
      <c r="AD62" t="str">
        <f t="shared" ca="1" si="4"/>
        <v>Not Admitted</v>
      </c>
      <c r="AE62" s="2" t="str">
        <f t="shared" ca="1" si="7"/>
        <v>N/A</v>
      </c>
    </row>
    <row r="63" spans="1:31" x14ac:dyDescent="0.3">
      <c r="A63" t="s">
        <v>193</v>
      </c>
      <c r="B63" t="s">
        <v>134</v>
      </c>
      <c r="C63" t="s">
        <v>32</v>
      </c>
      <c r="D63">
        <v>26</v>
      </c>
      <c r="E63" t="str" cm="1">
        <f t="array" aca="1" ref="E63" ca="1">_xlfn.IFS(
H63="Cardiology",CHOOSE(RANDBETWEEN(1,6),"Hypertension","Arrhythmia","Angina","Heart Failure","Chest Pain","Coronary Artery Disease"),
H63="General Medicine",CHOOSE(RANDBETWEEN(1,6),"Viral Fever","Influenza","Diabetes","Gastritis","Typhoid","Food Poisoning"),
H63="Orthopedics",CHOOSE(RANDBETWEEN(1,6),"Fracture","Arthritis","Back Pain","Joint Pain","Knee Injury","Shoulder Dislocation"),
H63="Neurology",CHOOSE(RANDBETWEEN(1,6),"Migraine","Stroke","Epilepsy","Vertigo","Parkinson's Disease","Peripheral Neuropathy"),
H63="Pediatrics",CHOOSE(RANDBETWEEN(1,6),"Common Cold","Asthma","Pneumonia","Ear Infection","Viral Fever","Stomach Infection"),
H63="Dermatology",CHOOSE(RANDBETWEEN(1,6),"Acne","Eczema","Psoriasis","Fungal Infection","Heat Rash","Contact Dermatitis"),
H63="ENT",CHOOSE(RANDBETWEEN(1,6),"Sinusitis","Tonsillitis","Ear Infection","Throat Infection","Allergic Rhinitis","Otitis Media"),
H63="Gynecology",CHOOSE(RANDBETWEEN(1,6),"PCOS","UTI","Pregnancy Checkup","Menstrual Disorder","Ovarian Cyst","Endometriosis")
)</f>
        <v>PCOS</v>
      </c>
      <c r="F63" t="str" cm="1">
        <f t="array" ref="F63">_xlfn.SWITCH(K63,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63" t="s">
        <v>47</v>
      </c>
      <c r="H63" t="s">
        <v>34</v>
      </c>
      <c r="I63" t="s">
        <v>35</v>
      </c>
      <c r="J63" s="1">
        <v>45772</v>
      </c>
      <c r="K63" t="str">
        <f t="shared" si="3"/>
        <v>April</v>
      </c>
      <c r="L63">
        <f t="shared" si="5"/>
        <v>4</v>
      </c>
      <c r="M63" t="s">
        <v>26</v>
      </c>
      <c r="N63" t="s">
        <v>27</v>
      </c>
      <c r="O63">
        <v>1300</v>
      </c>
      <c r="P63">
        <v>1000</v>
      </c>
      <c r="Q63">
        <v>800</v>
      </c>
      <c r="R63">
        <v>0</v>
      </c>
      <c r="S63" t="s">
        <v>28</v>
      </c>
      <c r="T63" t="s">
        <v>50</v>
      </c>
      <c r="U63">
        <v>3100</v>
      </c>
      <c r="V63">
        <v>0</v>
      </c>
      <c r="W63">
        <v>4.7</v>
      </c>
      <c r="X63" t="s">
        <v>420</v>
      </c>
      <c r="Y63" t="s">
        <v>621</v>
      </c>
      <c r="Z63" s="1">
        <v>45772</v>
      </c>
      <c r="AA63" s="1">
        <f>Table1[[#This Row],[Admission_Date]]+Table1[[#This Row],[Length_of_Stay]]</f>
        <v>45772</v>
      </c>
      <c r="AB63" t="str">
        <f t="shared" ca="1" si="6"/>
        <v>N/A</v>
      </c>
      <c r="AC63" t="str">
        <f ca="1">IF(AB63="General Ward","GW"&amp;TEXT(COUNTIF($AB$2:AB63,"General Ward"),"000"),IF(AB63="Semi Private","SP"&amp;TEXT(COUNTIF($AB$2:AB63,"Semi Private"),"000"),IF(AB63="Private Room","PR"&amp;TEXT(COUNTIF($AB$2:AB63,"Private Room"),"000"),IF(AB63="ICU","ICU"&amp;TEXT(COUNTIF($AB$2:AB63,"ICU"),"000"),"N/A"))))</f>
        <v>N/A</v>
      </c>
      <c r="AD63" t="str">
        <f t="shared" ca="1" si="4"/>
        <v>Not Admitted</v>
      </c>
      <c r="AE63" s="2" t="str">
        <f t="shared" ca="1" si="7"/>
        <v>N/A</v>
      </c>
    </row>
    <row r="64" spans="1:31" x14ac:dyDescent="0.3">
      <c r="A64" t="s">
        <v>194</v>
      </c>
      <c r="B64" t="s">
        <v>195</v>
      </c>
      <c r="C64" t="s">
        <v>22</v>
      </c>
      <c r="D64">
        <v>57</v>
      </c>
      <c r="E64" t="str" cm="1">
        <f t="array" aca="1" ref="E64" ca="1">_xlfn.IFS(
H64="Cardiology",CHOOSE(RANDBETWEEN(1,6),"Hypertension","Arrhythmia","Angina","Heart Failure","Chest Pain","Coronary Artery Disease"),
H64="General Medicine",CHOOSE(RANDBETWEEN(1,6),"Viral Fever","Influenza","Diabetes","Gastritis","Typhoid","Food Poisoning"),
H64="Orthopedics",CHOOSE(RANDBETWEEN(1,6),"Fracture","Arthritis","Back Pain","Joint Pain","Knee Injury","Shoulder Dislocation"),
H64="Neurology",CHOOSE(RANDBETWEEN(1,6),"Migraine","Stroke","Epilepsy","Vertigo","Parkinson's Disease","Peripheral Neuropathy"),
H64="Pediatrics",CHOOSE(RANDBETWEEN(1,6),"Common Cold","Asthma","Pneumonia","Ear Infection","Viral Fever","Stomach Infection"),
H64="Dermatology",CHOOSE(RANDBETWEEN(1,6),"Acne","Eczema","Psoriasis","Fungal Infection","Heat Rash","Contact Dermatitis"),
H64="ENT",CHOOSE(RANDBETWEEN(1,6),"Sinusitis","Tonsillitis","Ear Infection","Throat Infection","Allergic Rhinitis","Otitis Media"),
H64="Gynecology",CHOOSE(RANDBETWEEN(1,6),"PCOS","UTI","Pregnancy Checkup","Menstrual Disorder","Ovarian Cyst","Endometriosis")
)</f>
        <v>Parkinson's Disease</v>
      </c>
      <c r="F64" t="str" cm="1">
        <f t="array" ref="F64">_xlfn.SWITCH(K64,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64" t="s">
        <v>40</v>
      </c>
      <c r="H64" t="s">
        <v>54</v>
      </c>
      <c r="I64" t="s">
        <v>87</v>
      </c>
      <c r="J64" s="1">
        <v>45773</v>
      </c>
      <c r="K64" t="str">
        <f t="shared" si="3"/>
        <v>April</v>
      </c>
      <c r="L64">
        <f t="shared" si="5"/>
        <v>4</v>
      </c>
      <c r="M64" t="s">
        <v>26</v>
      </c>
      <c r="N64" t="s">
        <v>36</v>
      </c>
      <c r="O64">
        <v>2000</v>
      </c>
      <c r="P64">
        <v>8000</v>
      </c>
      <c r="Q64">
        <v>4000</v>
      </c>
      <c r="R64">
        <v>24000</v>
      </c>
      <c r="S64" t="s">
        <v>37</v>
      </c>
      <c r="T64" t="s">
        <v>15</v>
      </c>
      <c r="U64">
        <v>38000</v>
      </c>
      <c r="V64">
        <v>6</v>
      </c>
      <c r="W64">
        <v>4.9000000000000004</v>
      </c>
      <c r="X64" t="s">
        <v>421</v>
      </c>
      <c r="Y64" t="s">
        <v>622</v>
      </c>
      <c r="Z64" s="1">
        <v>45773</v>
      </c>
      <c r="AA64" s="1">
        <f>Table1[[#This Row],[Admission_Date]]+Table1[[#This Row],[Length_of_Stay]]</f>
        <v>45779</v>
      </c>
      <c r="AB64" t="str">
        <f t="shared" ca="1" si="6"/>
        <v>Private Room</v>
      </c>
      <c r="AC64" t="str">
        <f ca="1">IF(AB64="General Ward","GW"&amp;TEXT(COUNTIF($AB$2:AB64,"General Ward"),"000"),IF(AB64="Semi Private","SP"&amp;TEXT(COUNTIF($AB$2:AB64,"Semi Private"),"000"),IF(AB64="Private Room","PR"&amp;TEXT(COUNTIF($AB$2:AB64,"Private Room"),"000"),IF(AB64="ICU","ICU"&amp;TEXT(COUNTIF($AB$2:AB64,"ICU"),"000"),"N/A"))))</f>
        <v>PR008</v>
      </c>
      <c r="AD64" t="str">
        <f t="shared" ca="1" si="4"/>
        <v>Occupied</v>
      </c>
      <c r="AE64" s="2" t="str">
        <f t="shared" ca="1" si="7"/>
        <v>Emergency</v>
      </c>
    </row>
    <row r="65" spans="1:31" x14ac:dyDescent="0.3">
      <c r="A65" t="s">
        <v>196</v>
      </c>
      <c r="B65" t="s">
        <v>197</v>
      </c>
      <c r="C65" t="s">
        <v>32</v>
      </c>
      <c r="D65">
        <v>11</v>
      </c>
      <c r="E65" t="str" cm="1">
        <f t="array" aca="1" ref="E65" ca="1">_xlfn.IFS(
H65="Cardiology",CHOOSE(RANDBETWEEN(1,6),"Hypertension","Arrhythmia","Angina","Heart Failure","Chest Pain","Coronary Artery Disease"),
H65="General Medicine",CHOOSE(RANDBETWEEN(1,6),"Viral Fever","Influenza","Diabetes","Gastritis","Typhoid","Food Poisoning"),
H65="Orthopedics",CHOOSE(RANDBETWEEN(1,6),"Fracture","Arthritis","Back Pain","Joint Pain","Knee Injury","Shoulder Dislocation"),
H65="Neurology",CHOOSE(RANDBETWEEN(1,6),"Migraine","Stroke","Epilepsy","Vertigo","Parkinson's Disease","Peripheral Neuropathy"),
H65="Pediatrics",CHOOSE(RANDBETWEEN(1,6),"Common Cold","Asthma","Pneumonia","Ear Infection","Viral Fever","Stomach Infection"),
H65="Dermatology",CHOOSE(RANDBETWEEN(1,6),"Acne","Eczema","Psoriasis","Fungal Infection","Heat Rash","Contact Dermatitis"),
H65="ENT",CHOOSE(RANDBETWEEN(1,6),"Sinusitis","Tonsillitis","Ear Infection","Throat Infection","Allergic Rhinitis","Otitis Media"),
H65="Gynecology",CHOOSE(RANDBETWEEN(1,6),"PCOS","UTI","Pregnancy Checkup","Menstrual Disorder","Ovarian Cyst","Endometriosis")
)</f>
        <v>Stomach Infection</v>
      </c>
      <c r="F65" t="str" cm="1">
        <f t="array" ref="F65">_xlfn.SWITCH(K65,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65" t="s">
        <v>33</v>
      </c>
      <c r="H65" t="s">
        <v>48</v>
      </c>
      <c r="I65" t="s">
        <v>108</v>
      </c>
      <c r="J65" s="1">
        <v>45774</v>
      </c>
      <c r="K65" t="str">
        <f t="shared" si="3"/>
        <v>April</v>
      </c>
      <c r="L65">
        <f t="shared" si="5"/>
        <v>4</v>
      </c>
      <c r="M65" t="s">
        <v>26</v>
      </c>
      <c r="N65" t="s">
        <v>27</v>
      </c>
      <c r="O65">
        <v>700</v>
      </c>
      <c r="P65">
        <v>500</v>
      </c>
      <c r="Q65">
        <v>400</v>
      </c>
      <c r="R65">
        <v>0</v>
      </c>
      <c r="S65" t="s">
        <v>28</v>
      </c>
      <c r="T65" t="s">
        <v>44</v>
      </c>
      <c r="U65">
        <v>1600</v>
      </c>
      <c r="V65">
        <v>0</v>
      </c>
      <c r="W65">
        <v>4.8</v>
      </c>
      <c r="X65" t="s">
        <v>422</v>
      </c>
      <c r="Y65" t="s">
        <v>623</v>
      </c>
      <c r="Z65" s="1">
        <v>45774</v>
      </c>
      <c r="AA65" s="1">
        <f>Table1[[#This Row],[Admission_Date]]+Table1[[#This Row],[Length_of_Stay]]</f>
        <v>45774</v>
      </c>
      <c r="AB65" t="str">
        <f t="shared" ca="1" si="6"/>
        <v>N/A</v>
      </c>
      <c r="AC65" t="str">
        <f ca="1">IF(AB65="General Ward","GW"&amp;TEXT(COUNTIF($AB$2:AB65,"General Ward"),"000"),IF(AB65="Semi Private","SP"&amp;TEXT(COUNTIF($AB$2:AB65,"Semi Private"),"000"),IF(AB65="Private Room","PR"&amp;TEXT(COUNTIF($AB$2:AB65,"Private Room"),"000"),IF(AB65="ICU","ICU"&amp;TEXT(COUNTIF($AB$2:AB65,"ICU"),"000"),"N/A"))))</f>
        <v>N/A</v>
      </c>
      <c r="AD65" t="str">
        <f t="shared" ca="1" si="4"/>
        <v>Not Admitted</v>
      </c>
      <c r="AE65" s="2" t="str">
        <f t="shared" ca="1" si="7"/>
        <v>N/A</v>
      </c>
    </row>
    <row r="66" spans="1:31" x14ac:dyDescent="0.3">
      <c r="A66" t="s">
        <v>198</v>
      </c>
      <c r="B66" t="s">
        <v>199</v>
      </c>
      <c r="C66" t="s">
        <v>22</v>
      </c>
      <c r="D66">
        <v>45</v>
      </c>
      <c r="E66" t="str" cm="1">
        <f t="array" aca="1" ref="E66" ca="1">_xlfn.IFS(
H66="Cardiology",CHOOSE(RANDBETWEEN(1,6),"Hypertension","Arrhythmia","Angina","Heart Failure","Chest Pain","Coronary Artery Disease"),
H66="General Medicine",CHOOSE(RANDBETWEEN(1,6),"Viral Fever","Influenza","Diabetes","Gastritis","Typhoid","Food Poisoning"),
H66="Orthopedics",CHOOSE(RANDBETWEEN(1,6),"Fracture","Arthritis","Back Pain","Joint Pain","Knee Injury","Shoulder Dislocation"),
H66="Neurology",CHOOSE(RANDBETWEEN(1,6),"Migraine","Stroke","Epilepsy","Vertigo","Parkinson's Disease","Peripheral Neuropathy"),
H66="Pediatrics",CHOOSE(RANDBETWEEN(1,6),"Common Cold","Asthma","Pneumonia","Ear Infection","Viral Fever","Stomach Infection"),
H66="Dermatology",CHOOSE(RANDBETWEEN(1,6),"Acne","Eczema","Psoriasis","Fungal Infection","Heat Rash","Contact Dermatitis"),
H66="ENT",CHOOSE(RANDBETWEEN(1,6),"Sinusitis","Tonsillitis","Ear Infection","Throat Infection","Allergic Rhinitis","Otitis Media"),
H66="Gynecology",CHOOSE(RANDBETWEEN(1,6),"PCOS","UTI","Pregnancy Checkup","Menstrual Disorder","Ovarian Cyst","Endometriosis")
)</f>
        <v>Back Pain</v>
      </c>
      <c r="F66" t="str" cm="1">
        <f t="array" ref="F66">_xlfn.SWITCH(K66,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66" t="s">
        <v>53</v>
      </c>
      <c r="H66" t="s">
        <v>41</v>
      </c>
      <c r="I66" t="s">
        <v>81</v>
      </c>
      <c r="J66" s="1">
        <v>45775</v>
      </c>
      <c r="K66" t="str">
        <f t="shared" si="3"/>
        <v>April</v>
      </c>
      <c r="L66">
        <f t="shared" ref="L66:L97" si="8">MONTH(J66)</f>
        <v>4</v>
      </c>
      <c r="M66" t="s">
        <v>43</v>
      </c>
      <c r="N66" t="s">
        <v>27</v>
      </c>
      <c r="O66">
        <v>1400</v>
      </c>
      <c r="P66">
        <v>1800</v>
      </c>
      <c r="Q66">
        <v>1200</v>
      </c>
      <c r="R66">
        <v>0</v>
      </c>
      <c r="S66" t="s">
        <v>28</v>
      </c>
      <c r="T66" t="s">
        <v>29</v>
      </c>
      <c r="U66">
        <v>4400</v>
      </c>
      <c r="V66">
        <v>0</v>
      </c>
      <c r="W66">
        <v>4.3</v>
      </c>
      <c r="X66" t="s">
        <v>423</v>
      </c>
      <c r="Y66" t="s">
        <v>624</v>
      </c>
      <c r="Z66" s="1">
        <v>45775</v>
      </c>
      <c r="AA66" s="1">
        <f>Table1[[#This Row],[Admission_Date]]+Table1[[#This Row],[Length_of_Stay]]</f>
        <v>45775</v>
      </c>
      <c r="AB66" t="str">
        <f t="shared" ref="AB66:AB97" ca="1" si="9">IF(N66="OP","N/A",CHOOSE(RANDBETWEEN(1,4),"General Ward","Semi Private","Private Room","ICU"))</f>
        <v>N/A</v>
      </c>
      <c r="AC66" t="str">
        <f ca="1">IF(AB66="General Ward","GW"&amp;TEXT(COUNTIF($AB$2:AB66,"General Ward"),"000"),IF(AB66="Semi Private","SP"&amp;TEXT(COUNTIF($AB$2:AB66,"Semi Private"),"000"),IF(AB66="Private Room","PR"&amp;TEXT(COUNTIF($AB$2:AB66,"Private Room"),"000"),IF(AB66="ICU","ICU"&amp;TEXT(COUNTIF($AB$2:AB66,"ICU"),"000"),"N/A"))))</f>
        <v>N/A</v>
      </c>
      <c r="AD66" t="str">
        <f t="shared" ca="1" si="4"/>
        <v>Not Admitted</v>
      </c>
      <c r="AE66" s="2" t="str">
        <f t="shared" ref="AE66:AE97" ca="1" si="10">IF(AB66="N/A","N/A",
IF(RAND()&lt;0.2,"Emergency",
IF(RAND()&lt;0.5,"Scheduled",
IF(RAND()&lt;0.8,"Walk-in","Referral"))))</f>
        <v>N/A</v>
      </c>
    </row>
    <row r="67" spans="1:31" x14ac:dyDescent="0.3">
      <c r="A67" t="s">
        <v>200</v>
      </c>
      <c r="B67" t="s">
        <v>201</v>
      </c>
      <c r="C67" t="s">
        <v>32</v>
      </c>
      <c r="D67">
        <v>38</v>
      </c>
      <c r="E67" t="str" cm="1">
        <f t="array" aca="1" ref="E67" ca="1">_xlfn.IFS(
H67="Cardiology",CHOOSE(RANDBETWEEN(1,6),"Hypertension","Arrhythmia","Angina","Heart Failure","Chest Pain","Coronary Artery Disease"),
H67="General Medicine",CHOOSE(RANDBETWEEN(1,6),"Viral Fever","Influenza","Diabetes","Gastritis","Typhoid","Food Poisoning"),
H67="Orthopedics",CHOOSE(RANDBETWEEN(1,6),"Fracture","Arthritis","Back Pain","Joint Pain","Knee Injury","Shoulder Dislocation"),
H67="Neurology",CHOOSE(RANDBETWEEN(1,6),"Migraine","Stroke","Epilepsy","Vertigo","Parkinson's Disease","Peripheral Neuropathy"),
H67="Pediatrics",CHOOSE(RANDBETWEEN(1,6),"Common Cold","Asthma","Pneumonia","Ear Infection","Viral Fever","Stomach Infection"),
H67="Dermatology",CHOOSE(RANDBETWEEN(1,6),"Acne","Eczema","Psoriasis","Fungal Infection","Heat Rash","Contact Dermatitis"),
H67="ENT",CHOOSE(RANDBETWEEN(1,6),"Sinusitis","Tonsillitis","Ear Infection","Throat Infection","Allergic Rhinitis","Otitis Media"),
H67="Gynecology",CHOOSE(RANDBETWEEN(1,6),"PCOS","UTI","Pregnancy Checkup","Menstrual Disorder","Ovarian Cyst","Endometriosis")
)</f>
        <v>Fungal Infection</v>
      </c>
      <c r="F67" t="str" cm="1">
        <f t="array" ref="F67">_xlfn.SWITCH(K67,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67" t="s">
        <v>68</v>
      </c>
      <c r="H67" t="s">
        <v>58</v>
      </c>
      <c r="I67" t="s">
        <v>59</v>
      </c>
      <c r="J67" s="1">
        <v>45776</v>
      </c>
      <c r="K67" t="str">
        <f t="shared" ref="K67:K130" si="11">TEXT(J67,"MMMM")</f>
        <v>April</v>
      </c>
      <c r="L67">
        <f t="shared" si="8"/>
        <v>4</v>
      </c>
      <c r="M67" t="s">
        <v>26</v>
      </c>
      <c r="N67" t="s">
        <v>27</v>
      </c>
      <c r="O67">
        <v>900</v>
      </c>
      <c r="P67">
        <v>700</v>
      </c>
      <c r="Q67">
        <v>600</v>
      </c>
      <c r="R67">
        <v>0</v>
      </c>
      <c r="S67" t="s">
        <v>28</v>
      </c>
      <c r="T67" t="s">
        <v>50</v>
      </c>
      <c r="U67">
        <v>2200</v>
      </c>
      <c r="V67">
        <v>0</v>
      </c>
      <c r="W67">
        <v>4.5999999999999996</v>
      </c>
      <c r="X67" t="s">
        <v>424</v>
      </c>
      <c r="Y67" t="s">
        <v>625</v>
      </c>
      <c r="Z67" s="1">
        <v>45776</v>
      </c>
      <c r="AA67" s="1">
        <f>Table1[[#This Row],[Admission_Date]]+Table1[[#This Row],[Length_of_Stay]]</f>
        <v>45776</v>
      </c>
      <c r="AB67" t="str">
        <f t="shared" ca="1" si="9"/>
        <v>N/A</v>
      </c>
      <c r="AC67" t="str">
        <f ca="1">IF(AB67="General Ward","GW"&amp;TEXT(COUNTIF($AB$2:AB67,"General Ward"),"000"),IF(AB67="Semi Private","SP"&amp;TEXT(COUNTIF($AB$2:AB67,"Semi Private"),"000"),IF(AB67="Private Room","PR"&amp;TEXT(COUNTIF($AB$2:AB67,"Private Room"),"000"),IF(AB67="ICU","ICU"&amp;TEXT(COUNTIF($AB$2:AB67,"ICU"),"000"),"N/A"))))</f>
        <v>N/A</v>
      </c>
      <c r="AD67" t="str">
        <f t="shared" ref="AD67:AD130" ca="1" si="12">IF(AB67="N/A","Not Admitted",IF(RAND()&lt;0.5,"Occupied","Available"))</f>
        <v>Not Admitted</v>
      </c>
      <c r="AE67" s="2" t="str">
        <f t="shared" ca="1" si="10"/>
        <v>N/A</v>
      </c>
    </row>
    <row r="68" spans="1:31" x14ac:dyDescent="0.3">
      <c r="A68" t="s">
        <v>202</v>
      </c>
      <c r="B68" t="s">
        <v>203</v>
      </c>
      <c r="C68" t="s">
        <v>22</v>
      </c>
      <c r="D68">
        <v>62</v>
      </c>
      <c r="E68" t="str" cm="1">
        <f t="array" aca="1" ref="E68" ca="1">_xlfn.IFS(
H68="Cardiology",CHOOSE(RANDBETWEEN(1,6),"Hypertension","Arrhythmia","Angina","Heart Failure","Chest Pain","Coronary Artery Disease"),
H68="General Medicine",CHOOSE(RANDBETWEEN(1,6),"Viral Fever","Influenza","Diabetes","Gastritis","Typhoid","Food Poisoning"),
H68="Orthopedics",CHOOSE(RANDBETWEEN(1,6),"Fracture","Arthritis","Back Pain","Joint Pain","Knee Injury","Shoulder Dislocation"),
H68="Neurology",CHOOSE(RANDBETWEEN(1,6),"Migraine","Stroke","Epilepsy","Vertigo","Parkinson's Disease","Peripheral Neuropathy"),
H68="Pediatrics",CHOOSE(RANDBETWEEN(1,6),"Common Cold","Asthma","Pneumonia","Ear Infection","Viral Fever","Stomach Infection"),
H68="Dermatology",CHOOSE(RANDBETWEEN(1,6),"Acne","Eczema","Psoriasis","Fungal Infection","Heat Rash","Contact Dermatitis"),
H68="ENT",CHOOSE(RANDBETWEEN(1,6),"Sinusitis","Tonsillitis","Ear Infection","Throat Infection","Allergic Rhinitis","Otitis Media"),
H68="Gynecology",CHOOSE(RANDBETWEEN(1,6),"PCOS","UTI","Pregnancy Checkup","Menstrual Disorder","Ovarian Cyst","Endometriosis")
)</f>
        <v>Viral Fever</v>
      </c>
      <c r="F68" t="str" cm="1">
        <f t="array" ref="F68">_xlfn.SWITCH(K68,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68" t="s">
        <v>72</v>
      </c>
      <c r="H68" t="s">
        <v>73</v>
      </c>
      <c r="I68" t="s">
        <v>105</v>
      </c>
      <c r="J68" s="1">
        <v>45777</v>
      </c>
      <c r="K68" t="str">
        <f t="shared" si="11"/>
        <v>April</v>
      </c>
      <c r="L68">
        <f t="shared" si="8"/>
        <v>4</v>
      </c>
      <c r="M68" t="s">
        <v>26</v>
      </c>
      <c r="N68" t="s">
        <v>36</v>
      </c>
      <c r="O68">
        <v>1800</v>
      </c>
      <c r="P68">
        <v>6500</v>
      </c>
      <c r="Q68">
        <v>3000</v>
      </c>
      <c r="R68">
        <v>20000</v>
      </c>
      <c r="S68" t="s">
        <v>37</v>
      </c>
      <c r="T68" t="s">
        <v>15</v>
      </c>
      <c r="U68">
        <v>31300</v>
      </c>
      <c r="V68">
        <v>5</v>
      </c>
      <c r="W68">
        <v>4.8</v>
      </c>
      <c r="X68" t="s">
        <v>425</v>
      </c>
      <c r="Y68" t="s">
        <v>626</v>
      </c>
      <c r="Z68" s="1">
        <v>45777</v>
      </c>
      <c r="AA68" s="1">
        <f>Table1[[#This Row],[Admission_Date]]+Table1[[#This Row],[Length_of_Stay]]</f>
        <v>45782</v>
      </c>
      <c r="AB68" t="str">
        <f t="shared" ca="1" si="9"/>
        <v>Semi Private</v>
      </c>
      <c r="AC68" t="str">
        <f ca="1">IF(AB68="General Ward","GW"&amp;TEXT(COUNTIF($AB$2:AB68,"General Ward"),"000"),IF(AB68="Semi Private","SP"&amp;TEXT(COUNTIF($AB$2:AB68,"Semi Private"),"000"),IF(AB68="Private Room","PR"&amp;TEXT(COUNTIF($AB$2:AB68,"Private Room"),"000"),IF(AB68="ICU","ICU"&amp;TEXT(COUNTIF($AB$2:AB68,"ICU"),"000"),"N/A"))))</f>
        <v>SP008</v>
      </c>
      <c r="AD68" t="str">
        <f t="shared" ca="1" si="12"/>
        <v>Available</v>
      </c>
      <c r="AE68" s="2" t="str">
        <f t="shared" ca="1" si="10"/>
        <v>Walk-in</v>
      </c>
    </row>
    <row r="69" spans="1:31" x14ac:dyDescent="0.3">
      <c r="A69" t="s">
        <v>204</v>
      </c>
      <c r="B69" t="s">
        <v>205</v>
      </c>
      <c r="C69" t="s">
        <v>32</v>
      </c>
      <c r="D69">
        <v>29</v>
      </c>
      <c r="E69" t="str" cm="1">
        <f t="array" aca="1" ref="E69" ca="1">_xlfn.IFS(
H69="Cardiology",CHOOSE(RANDBETWEEN(1,6),"Hypertension","Arrhythmia","Angina","Heart Failure","Chest Pain","Coronary Artery Disease"),
H69="General Medicine",CHOOSE(RANDBETWEEN(1,6),"Viral Fever","Influenza","Diabetes","Gastritis","Typhoid","Food Poisoning"),
H69="Orthopedics",CHOOSE(RANDBETWEEN(1,6),"Fracture","Arthritis","Back Pain","Joint Pain","Knee Injury","Shoulder Dislocation"),
H69="Neurology",CHOOSE(RANDBETWEEN(1,6),"Migraine","Stroke","Epilepsy","Vertigo","Parkinson's Disease","Peripheral Neuropathy"),
H69="Pediatrics",CHOOSE(RANDBETWEEN(1,6),"Common Cold","Asthma","Pneumonia","Ear Infection","Viral Fever","Stomach Infection"),
H69="Dermatology",CHOOSE(RANDBETWEEN(1,6),"Acne","Eczema","Psoriasis","Fungal Infection","Heat Rash","Contact Dermatitis"),
H69="ENT",CHOOSE(RANDBETWEEN(1,6),"Sinusitis","Tonsillitis","Ear Infection","Throat Infection","Allergic Rhinitis","Otitis Media"),
H69="Gynecology",CHOOSE(RANDBETWEEN(1,6),"PCOS","UTI","Pregnancy Checkup","Menstrual Disorder","Ovarian Cyst","Endometriosis")
)</f>
        <v>Ear Infection</v>
      </c>
      <c r="F69" t="str" cm="1">
        <f t="array" ref="F69">_xlfn.SWITCH(K69,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69" t="s">
        <v>63</v>
      </c>
      <c r="H69" t="s">
        <v>64</v>
      </c>
      <c r="I69" t="s">
        <v>65</v>
      </c>
      <c r="J69" s="1">
        <v>45778</v>
      </c>
      <c r="K69" t="str">
        <f t="shared" si="11"/>
        <v>May</v>
      </c>
      <c r="L69">
        <f t="shared" si="8"/>
        <v>5</v>
      </c>
      <c r="M69" t="s">
        <v>26</v>
      </c>
      <c r="N69" t="s">
        <v>27</v>
      </c>
      <c r="O69">
        <v>1000</v>
      </c>
      <c r="P69">
        <v>800</v>
      </c>
      <c r="Q69">
        <v>700</v>
      </c>
      <c r="R69">
        <v>0</v>
      </c>
      <c r="S69" t="s">
        <v>28</v>
      </c>
      <c r="T69" t="s">
        <v>29</v>
      </c>
      <c r="U69">
        <v>2500</v>
      </c>
      <c r="V69">
        <v>0</v>
      </c>
      <c r="W69">
        <v>4.7</v>
      </c>
      <c r="X69" t="s">
        <v>426</v>
      </c>
      <c r="Y69" t="s">
        <v>627</v>
      </c>
      <c r="Z69" s="1">
        <v>45778</v>
      </c>
      <c r="AA69" s="1">
        <f>Table1[[#This Row],[Admission_Date]]+Table1[[#This Row],[Length_of_Stay]]</f>
        <v>45778</v>
      </c>
      <c r="AB69" t="str">
        <f t="shared" ca="1" si="9"/>
        <v>N/A</v>
      </c>
      <c r="AC69" t="str">
        <f ca="1">IF(AB69="General Ward","GW"&amp;TEXT(COUNTIF($AB$2:AB69,"General Ward"),"000"),IF(AB69="Semi Private","SP"&amp;TEXT(COUNTIF($AB$2:AB69,"Semi Private"),"000"),IF(AB69="Private Room","PR"&amp;TEXT(COUNTIF($AB$2:AB69,"Private Room"),"000"),IF(AB69="ICU","ICU"&amp;TEXT(COUNTIF($AB$2:AB69,"ICU"),"000"),"N/A"))))</f>
        <v>N/A</v>
      </c>
      <c r="AD69" t="str">
        <f t="shared" ca="1" si="12"/>
        <v>Not Admitted</v>
      </c>
      <c r="AE69" s="2" t="str">
        <f t="shared" ca="1" si="10"/>
        <v>N/A</v>
      </c>
    </row>
    <row r="70" spans="1:31" x14ac:dyDescent="0.3">
      <c r="A70" t="s">
        <v>206</v>
      </c>
      <c r="B70" t="s">
        <v>116</v>
      </c>
      <c r="C70" t="s">
        <v>22</v>
      </c>
      <c r="D70">
        <v>48</v>
      </c>
      <c r="E70" t="str" cm="1">
        <f t="array" aca="1" ref="E70" ca="1">_xlfn.IFS(
H70="Cardiology",CHOOSE(RANDBETWEEN(1,6),"Hypertension","Arrhythmia","Angina","Heart Failure","Chest Pain","Coronary Artery Disease"),
H70="General Medicine",CHOOSE(RANDBETWEEN(1,6),"Viral Fever","Influenza","Diabetes","Gastritis","Typhoid","Food Poisoning"),
H70="Orthopedics",CHOOSE(RANDBETWEEN(1,6),"Fracture","Arthritis","Back Pain","Joint Pain","Knee Injury","Shoulder Dislocation"),
H70="Neurology",CHOOSE(RANDBETWEEN(1,6),"Migraine","Stroke","Epilepsy","Vertigo","Parkinson's Disease","Peripheral Neuropathy"),
H70="Pediatrics",CHOOSE(RANDBETWEEN(1,6),"Common Cold","Asthma","Pneumonia","Ear Infection","Viral Fever","Stomach Infection"),
H70="Dermatology",CHOOSE(RANDBETWEEN(1,6),"Acne","Eczema","Psoriasis","Fungal Infection","Heat Rash","Contact Dermatitis"),
H70="ENT",CHOOSE(RANDBETWEEN(1,6),"Sinusitis","Tonsillitis","Ear Infection","Throat Infection","Allergic Rhinitis","Otitis Media"),
H70="Gynecology",CHOOSE(RANDBETWEEN(1,6),"PCOS","UTI","Pregnancy Checkup","Menstrual Disorder","Ovarian Cyst","Endometriosis")
)</f>
        <v>Heart Failure</v>
      </c>
      <c r="F70" t="str" cm="1">
        <f t="array" ref="F70">_xlfn.SWITCH(K70,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70" t="s">
        <v>77</v>
      </c>
      <c r="H70" t="s">
        <v>24</v>
      </c>
      <c r="I70" t="s">
        <v>69</v>
      </c>
      <c r="J70" s="1">
        <v>45779</v>
      </c>
      <c r="K70" t="str">
        <f t="shared" si="11"/>
        <v>May</v>
      </c>
      <c r="L70">
        <f t="shared" si="8"/>
        <v>5</v>
      </c>
      <c r="M70" t="s">
        <v>26</v>
      </c>
      <c r="N70" t="s">
        <v>36</v>
      </c>
      <c r="O70">
        <v>1800</v>
      </c>
      <c r="P70">
        <v>7000</v>
      </c>
      <c r="Q70">
        <v>3500</v>
      </c>
      <c r="R70">
        <v>22000</v>
      </c>
      <c r="S70" t="s">
        <v>37</v>
      </c>
      <c r="T70" t="s">
        <v>15</v>
      </c>
      <c r="U70">
        <v>34300</v>
      </c>
      <c r="V70">
        <v>5</v>
      </c>
      <c r="W70">
        <v>4.9000000000000004</v>
      </c>
      <c r="X70" t="s">
        <v>427</v>
      </c>
      <c r="Y70" t="s">
        <v>628</v>
      </c>
      <c r="Z70" s="1">
        <v>45779</v>
      </c>
      <c r="AA70" s="1">
        <f>Table1[[#This Row],[Admission_Date]]+Table1[[#This Row],[Length_of_Stay]]</f>
        <v>45784</v>
      </c>
      <c r="AB70" t="str">
        <f t="shared" ca="1" si="9"/>
        <v>Private Room</v>
      </c>
      <c r="AC70" t="str">
        <f ca="1">IF(AB70="General Ward","GW"&amp;TEXT(COUNTIF($AB$2:AB70,"General Ward"),"000"),IF(AB70="Semi Private","SP"&amp;TEXT(COUNTIF($AB$2:AB70,"Semi Private"),"000"),IF(AB70="Private Room","PR"&amp;TEXT(COUNTIF($AB$2:AB70,"Private Room"),"000"),IF(AB70="ICU","ICU"&amp;TEXT(COUNTIF($AB$2:AB70,"ICU"),"000"),"N/A"))))</f>
        <v>PR009</v>
      </c>
      <c r="AD70" t="str">
        <f t="shared" ca="1" si="12"/>
        <v>Available</v>
      </c>
      <c r="AE70" s="2" t="str">
        <f t="shared" ca="1" si="10"/>
        <v>Scheduled</v>
      </c>
    </row>
    <row r="71" spans="1:31" x14ac:dyDescent="0.3">
      <c r="A71" t="s">
        <v>207</v>
      </c>
      <c r="B71" t="s">
        <v>89</v>
      </c>
      <c r="C71" t="s">
        <v>32</v>
      </c>
      <c r="D71">
        <v>41</v>
      </c>
      <c r="E71" t="str" cm="1">
        <f t="array" aca="1" ref="E71" ca="1">_xlfn.IFS(
H71="Cardiology",CHOOSE(RANDBETWEEN(1,6),"Hypertension","Arrhythmia","Angina","Heart Failure","Chest Pain","Coronary Artery Disease"),
H71="General Medicine",CHOOSE(RANDBETWEEN(1,6),"Viral Fever","Influenza","Diabetes","Gastritis","Typhoid","Food Poisoning"),
H71="Orthopedics",CHOOSE(RANDBETWEEN(1,6),"Fracture","Arthritis","Back Pain","Joint Pain","Knee Injury","Shoulder Dislocation"),
H71="Neurology",CHOOSE(RANDBETWEEN(1,6),"Migraine","Stroke","Epilepsy","Vertigo","Parkinson's Disease","Peripheral Neuropathy"),
H71="Pediatrics",CHOOSE(RANDBETWEEN(1,6),"Common Cold","Asthma","Pneumonia","Ear Infection","Viral Fever","Stomach Infection"),
H71="Dermatology",CHOOSE(RANDBETWEEN(1,6),"Acne","Eczema","Psoriasis","Fungal Infection","Heat Rash","Contact Dermatitis"),
H71="ENT",CHOOSE(RANDBETWEEN(1,6),"Sinusitis","Tonsillitis","Ear Infection","Throat Infection","Allergic Rhinitis","Otitis Media"),
H71="Gynecology",CHOOSE(RANDBETWEEN(1,6),"PCOS","UTI","Pregnancy Checkup","Menstrual Disorder","Ovarian Cyst","Endometriosis")
)</f>
        <v>Diabetes</v>
      </c>
      <c r="F71" t="str" cm="1">
        <f t="array" ref="F71">_xlfn.SWITCH(K71,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71" t="s">
        <v>23</v>
      </c>
      <c r="H71" t="s">
        <v>73</v>
      </c>
      <c r="I71" t="s">
        <v>74</v>
      </c>
      <c r="J71" s="1">
        <v>45780</v>
      </c>
      <c r="K71" t="str">
        <f t="shared" si="11"/>
        <v>May</v>
      </c>
      <c r="L71">
        <f t="shared" si="8"/>
        <v>5</v>
      </c>
      <c r="M71" t="s">
        <v>26</v>
      </c>
      <c r="N71" t="s">
        <v>27</v>
      </c>
      <c r="O71">
        <v>800</v>
      </c>
      <c r="P71">
        <v>1000</v>
      </c>
      <c r="Q71">
        <v>900</v>
      </c>
      <c r="R71">
        <v>0</v>
      </c>
      <c r="S71" t="s">
        <v>28</v>
      </c>
      <c r="T71" t="s">
        <v>44</v>
      </c>
      <c r="U71">
        <v>2700</v>
      </c>
      <c r="V71">
        <v>0</v>
      </c>
      <c r="W71">
        <v>4.5</v>
      </c>
      <c r="X71" t="s">
        <v>428</v>
      </c>
      <c r="Y71" t="s">
        <v>629</v>
      </c>
      <c r="Z71" s="1">
        <v>45780</v>
      </c>
      <c r="AA71" s="1">
        <f>Table1[[#This Row],[Admission_Date]]+Table1[[#This Row],[Length_of_Stay]]</f>
        <v>45780</v>
      </c>
      <c r="AB71" t="str">
        <f t="shared" ca="1" si="9"/>
        <v>N/A</v>
      </c>
      <c r="AC71" t="str">
        <f ca="1">IF(AB71="General Ward","GW"&amp;TEXT(COUNTIF($AB$2:AB71,"General Ward"),"000"),IF(AB71="Semi Private","SP"&amp;TEXT(COUNTIF($AB$2:AB71,"Semi Private"),"000"),IF(AB71="Private Room","PR"&amp;TEXT(COUNTIF($AB$2:AB71,"Private Room"),"000"),IF(AB71="ICU","ICU"&amp;TEXT(COUNTIF($AB$2:AB71,"ICU"),"000"),"N/A"))))</f>
        <v>N/A</v>
      </c>
      <c r="AD71" t="str">
        <f t="shared" ca="1" si="12"/>
        <v>Not Admitted</v>
      </c>
      <c r="AE71" s="2" t="str">
        <f t="shared" ca="1" si="10"/>
        <v>N/A</v>
      </c>
    </row>
    <row r="72" spans="1:31" x14ac:dyDescent="0.3">
      <c r="A72" t="s">
        <v>208</v>
      </c>
      <c r="B72" t="s">
        <v>86</v>
      </c>
      <c r="C72" t="s">
        <v>22</v>
      </c>
      <c r="D72">
        <v>36</v>
      </c>
      <c r="E72" t="str" cm="1">
        <f t="array" aca="1" ref="E72" ca="1">_xlfn.IFS(
H72="Cardiology",CHOOSE(RANDBETWEEN(1,6),"Hypertension","Arrhythmia","Angina","Heart Failure","Chest Pain","Coronary Artery Disease"),
H72="General Medicine",CHOOSE(RANDBETWEEN(1,6),"Viral Fever","Influenza","Diabetes","Gastritis","Typhoid","Food Poisoning"),
H72="Orthopedics",CHOOSE(RANDBETWEEN(1,6),"Fracture","Arthritis","Back Pain","Joint Pain","Knee Injury","Shoulder Dislocation"),
H72="Neurology",CHOOSE(RANDBETWEEN(1,6),"Migraine","Stroke","Epilepsy","Vertigo","Parkinson's Disease","Peripheral Neuropathy"),
H72="Pediatrics",CHOOSE(RANDBETWEEN(1,6),"Common Cold","Asthma","Pneumonia","Ear Infection","Viral Fever","Stomach Infection"),
H72="Dermatology",CHOOSE(RANDBETWEEN(1,6),"Acne","Eczema","Psoriasis","Fungal Infection","Heat Rash","Contact Dermatitis"),
H72="ENT",CHOOSE(RANDBETWEEN(1,6),"Sinusitis","Tonsillitis","Ear Infection","Throat Infection","Allergic Rhinitis","Otitis Media"),
H72="Gynecology",CHOOSE(RANDBETWEEN(1,6),"PCOS","UTI","Pregnancy Checkup","Menstrual Disorder","Ovarian Cyst","Endometriosis")
)</f>
        <v>Ear Infection</v>
      </c>
      <c r="F72" t="str" cm="1">
        <f t="array" ref="F72">_xlfn.SWITCH(K72,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72" t="s">
        <v>47</v>
      </c>
      <c r="H72" t="s">
        <v>64</v>
      </c>
      <c r="I72" t="s">
        <v>78</v>
      </c>
      <c r="J72" s="1">
        <v>45781</v>
      </c>
      <c r="K72" t="str">
        <f t="shared" si="11"/>
        <v>May</v>
      </c>
      <c r="L72">
        <f t="shared" si="8"/>
        <v>5</v>
      </c>
      <c r="M72" t="s">
        <v>26</v>
      </c>
      <c r="N72" t="s">
        <v>27</v>
      </c>
      <c r="O72">
        <v>900</v>
      </c>
      <c r="P72">
        <v>900</v>
      </c>
      <c r="Q72">
        <v>600</v>
      </c>
      <c r="R72">
        <v>0</v>
      </c>
      <c r="S72" t="s">
        <v>28</v>
      </c>
      <c r="T72" t="s">
        <v>50</v>
      </c>
      <c r="U72">
        <v>2400</v>
      </c>
      <c r="V72">
        <v>0</v>
      </c>
      <c r="W72">
        <v>4.5999999999999996</v>
      </c>
      <c r="X72" t="s">
        <v>429</v>
      </c>
      <c r="Y72" t="s">
        <v>630</v>
      </c>
      <c r="Z72" s="1">
        <v>45781</v>
      </c>
      <c r="AA72" s="1">
        <f>Table1[[#This Row],[Admission_Date]]+Table1[[#This Row],[Length_of_Stay]]</f>
        <v>45781</v>
      </c>
      <c r="AB72" t="str">
        <f t="shared" ca="1" si="9"/>
        <v>N/A</v>
      </c>
      <c r="AC72" t="str">
        <f ca="1">IF(AB72="General Ward","GW"&amp;TEXT(COUNTIF($AB$2:AB72,"General Ward"),"000"),IF(AB72="Semi Private","SP"&amp;TEXT(COUNTIF($AB$2:AB72,"Semi Private"),"000"),IF(AB72="Private Room","PR"&amp;TEXT(COUNTIF($AB$2:AB72,"Private Room"),"000"),IF(AB72="ICU","ICU"&amp;TEXT(COUNTIF($AB$2:AB72,"ICU"),"000"),"N/A"))))</f>
        <v>N/A</v>
      </c>
      <c r="AD72" t="str">
        <f t="shared" ca="1" si="12"/>
        <v>Not Admitted</v>
      </c>
      <c r="AE72" s="2" t="str">
        <f t="shared" ca="1" si="10"/>
        <v>N/A</v>
      </c>
    </row>
    <row r="73" spans="1:31" x14ac:dyDescent="0.3">
      <c r="A73" t="s">
        <v>209</v>
      </c>
      <c r="B73" t="s">
        <v>138</v>
      </c>
      <c r="C73" t="s">
        <v>32</v>
      </c>
      <c r="D73">
        <v>53</v>
      </c>
      <c r="E73" t="str" cm="1">
        <f t="array" aca="1" ref="E73" ca="1">_xlfn.IFS(
H73="Cardiology",CHOOSE(RANDBETWEEN(1,6),"Hypertension","Arrhythmia","Angina","Heart Failure","Chest Pain","Coronary Artery Disease"),
H73="General Medicine",CHOOSE(RANDBETWEEN(1,6),"Viral Fever","Influenza","Diabetes","Gastritis","Typhoid","Food Poisoning"),
H73="Orthopedics",CHOOSE(RANDBETWEEN(1,6),"Fracture","Arthritis","Back Pain","Joint Pain","Knee Injury","Shoulder Dislocation"),
H73="Neurology",CHOOSE(RANDBETWEEN(1,6),"Migraine","Stroke","Epilepsy","Vertigo","Parkinson's Disease","Peripheral Neuropathy"),
H73="Pediatrics",CHOOSE(RANDBETWEEN(1,6),"Common Cold","Asthma","Pneumonia","Ear Infection","Viral Fever","Stomach Infection"),
H73="Dermatology",CHOOSE(RANDBETWEEN(1,6),"Acne","Eczema","Psoriasis","Fungal Infection","Heat Rash","Contact Dermatitis"),
H73="ENT",CHOOSE(RANDBETWEEN(1,6),"Sinusitis","Tonsillitis","Ear Infection","Throat Infection","Allergic Rhinitis","Otitis Media"),
H73="Gynecology",CHOOSE(RANDBETWEEN(1,6),"PCOS","UTI","Pregnancy Checkup","Menstrual Disorder","Ovarian Cyst","Endometriosis")
)</f>
        <v>Peripheral Neuropathy</v>
      </c>
      <c r="F73" t="str" cm="1">
        <f t="array" ref="F73">_xlfn.SWITCH(K73,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73" t="s">
        <v>40</v>
      </c>
      <c r="H73" t="s">
        <v>54</v>
      </c>
      <c r="I73" t="s">
        <v>55</v>
      </c>
      <c r="J73" s="1">
        <v>45782</v>
      </c>
      <c r="K73" t="str">
        <f t="shared" si="11"/>
        <v>May</v>
      </c>
      <c r="L73">
        <f t="shared" si="8"/>
        <v>5</v>
      </c>
      <c r="M73" t="s">
        <v>26</v>
      </c>
      <c r="N73" t="s">
        <v>36</v>
      </c>
      <c r="O73">
        <v>2100</v>
      </c>
      <c r="P73">
        <v>9000</v>
      </c>
      <c r="Q73">
        <v>4200</v>
      </c>
      <c r="R73">
        <v>25000</v>
      </c>
      <c r="S73" t="s">
        <v>37</v>
      </c>
      <c r="T73" t="s">
        <v>15</v>
      </c>
      <c r="U73">
        <v>40300</v>
      </c>
      <c r="V73">
        <v>7</v>
      </c>
      <c r="W73">
        <v>5</v>
      </c>
      <c r="X73" t="s">
        <v>430</v>
      </c>
      <c r="Y73" t="s">
        <v>631</v>
      </c>
      <c r="Z73" s="1">
        <v>45782</v>
      </c>
      <c r="AA73" s="1">
        <f>Table1[[#This Row],[Admission_Date]]+Table1[[#This Row],[Length_of_Stay]]</f>
        <v>45789</v>
      </c>
      <c r="AB73" t="str">
        <f t="shared" ca="1" si="9"/>
        <v>Semi Private</v>
      </c>
      <c r="AC73" t="str">
        <f ca="1">IF(AB73="General Ward","GW"&amp;TEXT(COUNTIF($AB$2:AB73,"General Ward"),"000"),IF(AB73="Semi Private","SP"&amp;TEXT(COUNTIF($AB$2:AB73,"Semi Private"),"000"),IF(AB73="Private Room","PR"&amp;TEXT(COUNTIF($AB$2:AB73,"Private Room"),"000"),IF(AB73="ICU","ICU"&amp;TEXT(COUNTIF($AB$2:AB73,"ICU"),"000"),"N/A"))))</f>
        <v>SP009</v>
      </c>
      <c r="AD73" t="str">
        <f t="shared" ca="1" si="12"/>
        <v>Available</v>
      </c>
      <c r="AE73" s="2" t="str">
        <f t="shared" ca="1" si="10"/>
        <v>Walk-in</v>
      </c>
    </row>
    <row r="74" spans="1:31" x14ac:dyDescent="0.3">
      <c r="A74" t="s">
        <v>210</v>
      </c>
      <c r="B74" t="s">
        <v>124</v>
      </c>
      <c r="C74" t="s">
        <v>22</v>
      </c>
      <c r="D74">
        <v>22</v>
      </c>
      <c r="E74" t="str" cm="1">
        <f t="array" aca="1" ref="E74" ca="1">_xlfn.IFS(
H74="Cardiology",CHOOSE(RANDBETWEEN(1,6),"Hypertension","Arrhythmia","Angina","Heart Failure","Chest Pain","Coronary Artery Disease"),
H74="General Medicine",CHOOSE(RANDBETWEEN(1,6),"Viral Fever","Influenza","Diabetes","Gastritis","Typhoid","Food Poisoning"),
H74="Orthopedics",CHOOSE(RANDBETWEEN(1,6),"Fracture","Arthritis","Back Pain","Joint Pain","Knee Injury","Shoulder Dislocation"),
H74="Neurology",CHOOSE(RANDBETWEEN(1,6),"Migraine","Stroke","Epilepsy","Vertigo","Parkinson's Disease","Peripheral Neuropathy"),
H74="Pediatrics",CHOOSE(RANDBETWEEN(1,6),"Common Cold","Asthma","Pneumonia","Ear Infection","Viral Fever","Stomach Infection"),
H74="Dermatology",CHOOSE(RANDBETWEEN(1,6),"Acne","Eczema","Psoriasis","Fungal Infection","Heat Rash","Contact Dermatitis"),
H74="ENT",CHOOSE(RANDBETWEEN(1,6),"Sinusitis","Tonsillitis","Ear Infection","Throat Infection","Allergic Rhinitis","Otitis Media"),
H74="Gynecology",CHOOSE(RANDBETWEEN(1,6),"PCOS","UTI","Pregnancy Checkup","Menstrual Disorder","Ovarian Cyst","Endometriosis")
)</f>
        <v>Heat Rash</v>
      </c>
      <c r="F74" t="str" cm="1">
        <f t="array" ref="F74">_xlfn.SWITCH(K74,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74" t="s">
        <v>33</v>
      </c>
      <c r="H74" t="s">
        <v>58</v>
      </c>
      <c r="I74" t="s">
        <v>84</v>
      </c>
      <c r="J74" s="1">
        <v>45783</v>
      </c>
      <c r="K74" t="str">
        <f t="shared" si="11"/>
        <v>May</v>
      </c>
      <c r="L74">
        <f t="shared" si="8"/>
        <v>5</v>
      </c>
      <c r="M74" t="s">
        <v>26</v>
      </c>
      <c r="N74" t="s">
        <v>27</v>
      </c>
      <c r="O74">
        <v>900</v>
      </c>
      <c r="P74">
        <v>500</v>
      </c>
      <c r="Q74">
        <v>500</v>
      </c>
      <c r="R74">
        <v>0</v>
      </c>
      <c r="S74" t="s">
        <v>28</v>
      </c>
      <c r="T74" t="s">
        <v>29</v>
      </c>
      <c r="U74">
        <v>1900</v>
      </c>
      <c r="V74">
        <v>0</v>
      </c>
      <c r="W74">
        <v>4.7</v>
      </c>
      <c r="X74" t="s">
        <v>431</v>
      </c>
      <c r="Y74" t="s">
        <v>632</v>
      </c>
      <c r="Z74" s="1">
        <v>45783</v>
      </c>
      <c r="AA74" s="1">
        <f>Table1[[#This Row],[Admission_Date]]+Table1[[#This Row],[Length_of_Stay]]</f>
        <v>45783</v>
      </c>
      <c r="AB74" t="str">
        <f t="shared" ca="1" si="9"/>
        <v>N/A</v>
      </c>
      <c r="AC74" t="str">
        <f ca="1">IF(AB74="General Ward","GW"&amp;TEXT(COUNTIF($AB$2:AB74,"General Ward"),"000"),IF(AB74="Semi Private","SP"&amp;TEXT(COUNTIF($AB$2:AB74,"Semi Private"),"000"),IF(AB74="Private Room","PR"&amp;TEXT(COUNTIF($AB$2:AB74,"Private Room"),"000"),IF(AB74="ICU","ICU"&amp;TEXT(COUNTIF($AB$2:AB74,"ICU"),"000"),"N/A"))))</f>
        <v>N/A</v>
      </c>
      <c r="AD74" t="str">
        <f t="shared" ca="1" si="12"/>
        <v>Not Admitted</v>
      </c>
      <c r="AE74" s="2" t="str">
        <f t="shared" ca="1" si="10"/>
        <v>N/A</v>
      </c>
    </row>
    <row r="75" spans="1:31" x14ac:dyDescent="0.3">
      <c r="A75" t="s">
        <v>211</v>
      </c>
      <c r="B75" t="s">
        <v>67</v>
      </c>
      <c r="C75" t="s">
        <v>32</v>
      </c>
      <c r="D75">
        <v>31</v>
      </c>
      <c r="E75" t="str" cm="1">
        <f t="array" aca="1" ref="E75" ca="1">_xlfn.IFS(
H75="Cardiology",CHOOSE(RANDBETWEEN(1,6),"Hypertension","Arrhythmia","Angina","Heart Failure","Chest Pain","Coronary Artery Disease"),
H75="General Medicine",CHOOSE(RANDBETWEEN(1,6),"Viral Fever","Influenza","Diabetes","Gastritis","Typhoid","Food Poisoning"),
H75="Orthopedics",CHOOSE(RANDBETWEEN(1,6),"Fracture","Arthritis","Back Pain","Joint Pain","Knee Injury","Shoulder Dislocation"),
H75="Neurology",CHOOSE(RANDBETWEEN(1,6),"Migraine","Stroke","Epilepsy","Vertigo","Parkinson's Disease","Peripheral Neuropathy"),
H75="Pediatrics",CHOOSE(RANDBETWEEN(1,6),"Common Cold","Asthma","Pneumonia","Ear Infection","Viral Fever","Stomach Infection"),
H75="Dermatology",CHOOSE(RANDBETWEEN(1,6),"Acne","Eczema","Psoriasis","Fungal Infection","Heat Rash","Contact Dermatitis"),
H75="ENT",CHOOSE(RANDBETWEEN(1,6),"Sinusitis","Tonsillitis","Ear Infection","Throat Infection","Allergic Rhinitis","Otitis Media"),
H75="Gynecology",CHOOSE(RANDBETWEEN(1,6),"PCOS","UTI","Pregnancy Checkup","Menstrual Disorder","Ovarian Cyst","Endometriosis")
)</f>
        <v>Menstrual Disorder</v>
      </c>
      <c r="F75" t="str" cm="1">
        <f t="array" ref="F75">_xlfn.SWITCH(K75,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75" t="s">
        <v>53</v>
      </c>
      <c r="H75" t="s">
        <v>34</v>
      </c>
      <c r="I75" t="s">
        <v>96</v>
      </c>
      <c r="J75" s="1">
        <v>45784</v>
      </c>
      <c r="K75" t="str">
        <f t="shared" si="11"/>
        <v>May</v>
      </c>
      <c r="L75">
        <f t="shared" si="8"/>
        <v>5</v>
      </c>
      <c r="M75" t="s">
        <v>26</v>
      </c>
      <c r="N75" t="s">
        <v>27</v>
      </c>
      <c r="O75">
        <v>1200</v>
      </c>
      <c r="P75">
        <v>1000</v>
      </c>
      <c r="Q75">
        <v>700</v>
      </c>
      <c r="R75">
        <v>0</v>
      </c>
      <c r="S75" t="s">
        <v>28</v>
      </c>
      <c r="T75" t="s">
        <v>50</v>
      </c>
      <c r="U75">
        <v>2900</v>
      </c>
      <c r="V75">
        <v>0</v>
      </c>
      <c r="W75">
        <v>4.8</v>
      </c>
      <c r="X75" t="s">
        <v>432</v>
      </c>
      <c r="Y75" t="s">
        <v>633</v>
      </c>
      <c r="Z75" s="1">
        <v>45784</v>
      </c>
      <c r="AA75" s="1">
        <f>Table1[[#This Row],[Admission_Date]]+Table1[[#This Row],[Length_of_Stay]]</f>
        <v>45784</v>
      </c>
      <c r="AB75" t="str">
        <f t="shared" ca="1" si="9"/>
        <v>N/A</v>
      </c>
      <c r="AC75" t="str">
        <f ca="1">IF(AB75="General Ward","GW"&amp;TEXT(COUNTIF($AB$2:AB75,"General Ward"),"000"),IF(AB75="Semi Private","SP"&amp;TEXT(COUNTIF($AB$2:AB75,"Semi Private"),"000"),IF(AB75="Private Room","PR"&amp;TEXT(COUNTIF($AB$2:AB75,"Private Room"),"000"),IF(AB75="ICU","ICU"&amp;TEXT(COUNTIF($AB$2:AB75,"ICU"),"000"),"N/A"))))</f>
        <v>N/A</v>
      </c>
      <c r="AD75" t="str">
        <f t="shared" ca="1" si="12"/>
        <v>Not Admitted</v>
      </c>
      <c r="AE75" s="2" t="str">
        <f t="shared" ca="1" si="10"/>
        <v>N/A</v>
      </c>
    </row>
    <row r="76" spans="1:31" x14ac:dyDescent="0.3">
      <c r="A76" t="s">
        <v>212</v>
      </c>
      <c r="B76" t="s">
        <v>62</v>
      </c>
      <c r="C76" t="s">
        <v>22</v>
      </c>
      <c r="D76">
        <v>59</v>
      </c>
      <c r="E76" t="str" cm="1">
        <f t="array" aca="1" ref="E76" ca="1">_xlfn.IFS(
H76="Cardiology",CHOOSE(RANDBETWEEN(1,6),"Hypertension","Arrhythmia","Angina","Heart Failure","Chest Pain","Coronary Artery Disease"),
H76="General Medicine",CHOOSE(RANDBETWEEN(1,6),"Viral Fever","Influenza","Diabetes","Gastritis","Typhoid","Food Poisoning"),
H76="Orthopedics",CHOOSE(RANDBETWEEN(1,6),"Fracture","Arthritis","Back Pain","Joint Pain","Knee Injury","Shoulder Dislocation"),
H76="Neurology",CHOOSE(RANDBETWEEN(1,6),"Migraine","Stroke","Epilepsy","Vertigo","Parkinson's Disease","Peripheral Neuropathy"),
H76="Pediatrics",CHOOSE(RANDBETWEEN(1,6),"Common Cold","Asthma","Pneumonia","Ear Infection","Viral Fever","Stomach Infection"),
H76="Dermatology",CHOOSE(RANDBETWEEN(1,6),"Acne","Eczema","Psoriasis","Fungal Infection","Heat Rash","Contact Dermatitis"),
H76="ENT",CHOOSE(RANDBETWEEN(1,6),"Sinusitis","Tonsillitis","Ear Infection","Throat Infection","Allergic Rhinitis","Otitis Media"),
H76="Gynecology",CHOOSE(RANDBETWEEN(1,6),"PCOS","UTI","Pregnancy Checkup","Menstrual Disorder","Ovarian Cyst","Endometriosis")
)</f>
        <v>Joint Pain</v>
      </c>
      <c r="F76" t="str" cm="1">
        <f t="array" ref="F76">_xlfn.SWITCH(K76,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76" t="s">
        <v>68</v>
      </c>
      <c r="H76" t="s">
        <v>41</v>
      </c>
      <c r="I76" t="s">
        <v>42</v>
      </c>
      <c r="J76" s="1">
        <v>45785</v>
      </c>
      <c r="K76" t="str">
        <f t="shared" si="11"/>
        <v>May</v>
      </c>
      <c r="L76">
        <f t="shared" si="8"/>
        <v>5</v>
      </c>
      <c r="M76" t="s">
        <v>26</v>
      </c>
      <c r="N76" t="s">
        <v>36</v>
      </c>
      <c r="O76">
        <v>1700</v>
      </c>
      <c r="P76">
        <v>6000</v>
      </c>
      <c r="Q76">
        <v>3200</v>
      </c>
      <c r="R76">
        <v>18000</v>
      </c>
      <c r="S76" t="s">
        <v>37</v>
      </c>
      <c r="T76" t="s">
        <v>15</v>
      </c>
      <c r="U76">
        <v>28900</v>
      </c>
      <c r="V76">
        <v>4</v>
      </c>
      <c r="W76">
        <v>4.8</v>
      </c>
      <c r="X76" t="s">
        <v>433</v>
      </c>
      <c r="Y76" t="s">
        <v>634</v>
      </c>
      <c r="Z76" s="1">
        <v>45785</v>
      </c>
      <c r="AA76" s="1">
        <f>Table1[[#This Row],[Admission_Date]]+Table1[[#This Row],[Length_of_Stay]]</f>
        <v>45789</v>
      </c>
      <c r="AB76" t="str">
        <f t="shared" ca="1" si="9"/>
        <v>Semi Private</v>
      </c>
      <c r="AC76" t="str">
        <f ca="1">IF(AB76="General Ward","GW"&amp;TEXT(COUNTIF($AB$2:AB76,"General Ward"),"000"),IF(AB76="Semi Private","SP"&amp;TEXT(COUNTIF($AB$2:AB76,"Semi Private"),"000"),IF(AB76="Private Room","PR"&amp;TEXT(COUNTIF($AB$2:AB76,"Private Room"),"000"),IF(AB76="ICU","ICU"&amp;TEXT(COUNTIF($AB$2:AB76,"ICU"),"000"),"N/A"))))</f>
        <v>SP010</v>
      </c>
      <c r="AD76" t="str">
        <f t="shared" ca="1" si="12"/>
        <v>Occupied</v>
      </c>
      <c r="AE76" s="2" t="str">
        <f t="shared" ca="1" si="10"/>
        <v>Emergency</v>
      </c>
    </row>
    <row r="77" spans="1:31" x14ac:dyDescent="0.3">
      <c r="A77" t="s">
        <v>213</v>
      </c>
      <c r="B77" t="s">
        <v>168</v>
      </c>
      <c r="C77" t="s">
        <v>32</v>
      </c>
      <c r="D77">
        <v>24</v>
      </c>
      <c r="E77" t="str" cm="1">
        <f t="array" aca="1" ref="E77" ca="1">_xlfn.IFS(
H77="Cardiology",CHOOSE(RANDBETWEEN(1,6),"Hypertension","Arrhythmia","Angina","Heart Failure","Chest Pain","Coronary Artery Disease"),
H77="General Medicine",CHOOSE(RANDBETWEEN(1,6),"Viral Fever","Influenza","Diabetes","Gastritis","Typhoid","Food Poisoning"),
H77="Orthopedics",CHOOSE(RANDBETWEEN(1,6),"Fracture","Arthritis","Back Pain","Joint Pain","Knee Injury","Shoulder Dislocation"),
H77="Neurology",CHOOSE(RANDBETWEEN(1,6),"Migraine","Stroke","Epilepsy","Vertigo","Parkinson's Disease","Peripheral Neuropathy"),
H77="Pediatrics",CHOOSE(RANDBETWEEN(1,6),"Common Cold","Asthma","Pneumonia","Ear Infection","Viral Fever","Stomach Infection"),
H77="Dermatology",CHOOSE(RANDBETWEEN(1,6),"Acne","Eczema","Psoriasis","Fungal Infection","Heat Rash","Contact Dermatitis"),
H77="ENT",CHOOSE(RANDBETWEEN(1,6),"Sinusitis","Tonsillitis","Ear Infection","Throat Infection","Allergic Rhinitis","Otitis Media"),
H77="Gynecology",CHOOSE(RANDBETWEEN(1,6),"PCOS","UTI","Pregnancy Checkup","Menstrual Disorder","Ovarian Cyst","Endometriosis")
)</f>
        <v>Ear Infection</v>
      </c>
      <c r="F77" t="str" cm="1">
        <f t="array" ref="F77">_xlfn.SWITCH(K77,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77" t="s">
        <v>72</v>
      </c>
      <c r="H77" t="s">
        <v>48</v>
      </c>
      <c r="I77" t="s">
        <v>156</v>
      </c>
      <c r="J77" s="1">
        <v>45786</v>
      </c>
      <c r="K77" t="str">
        <f t="shared" si="11"/>
        <v>May</v>
      </c>
      <c r="L77">
        <f t="shared" si="8"/>
        <v>5</v>
      </c>
      <c r="M77" t="s">
        <v>26</v>
      </c>
      <c r="N77" t="s">
        <v>27</v>
      </c>
      <c r="O77">
        <v>700</v>
      </c>
      <c r="P77">
        <v>600</v>
      </c>
      <c r="Q77">
        <v>400</v>
      </c>
      <c r="R77">
        <v>0</v>
      </c>
      <c r="S77" t="s">
        <v>28</v>
      </c>
      <c r="T77" t="s">
        <v>44</v>
      </c>
      <c r="U77">
        <v>1700</v>
      </c>
      <c r="V77">
        <v>0</v>
      </c>
      <c r="W77">
        <v>4.9000000000000004</v>
      </c>
      <c r="X77" t="s">
        <v>434</v>
      </c>
      <c r="Y77" t="s">
        <v>635</v>
      </c>
      <c r="Z77" s="1">
        <v>45786</v>
      </c>
      <c r="AA77" s="1">
        <f>Table1[[#This Row],[Admission_Date]]+Table1[[#This Row],[Length_of_Stay]]</f>
        <v>45786</v>
      </c>
      <c r="AB77" t="str">
        <f t="shared" ca="1" si="9"/>
        <v>N/A</v>
      </c>
      <c r="AC77" t="str">
        <f ca="1">IF(AB77="General Ward","GW"&amp;TEXT(COUNTIF($AB$2:AB77,"General Ward"),"000"),IF(AB77="Semi Private","SP"&amp;TEXT(COUNTIF($AB$2:AB77,"Semi Private"),"000"),IF(AB77="Private Room","PR"&amp;TEXT(COUNTIF($AB$2:AB77,"Private Room"),"000"),IF(AB77="ICU","ICU"&amp;TEXT(COUNTIF($AB$2:AB77,"ICU"),"000"),"N/A"))))</f>
        <v>N/A</v>
      </c>
      <c r="AD77" t="str">
        <f t="shared" ca="1" si="12"/>
        <v>Not Admitted</v>
      </c>
      <c r="AE77" s="2" t="str">
        <f t="shared" ca="1" si="10"/>
        <v>N/A</v>
      </c>
    </row>
    <row r="78" spans="1:31" x14ac:dyDescent="0.3">
      <c r="A78" t="s">
        <v>214</v>
      </c>
      <c r="B78" t="s">
        <v>215</v>
      </c>
      <c r="C78" t="s">
        <v>22</v>
      </c>
      <c r="D78">
        <v>43</v>
      </c>
      <c r="E78" t="str" cm="1">
        <f t="array" aca="1" ref="E78" ca="1">_xlfn.IFS(
H78="Cardiology",CHOOSE(RANDBETWEEN(1,6),"Hypertension","Arrhythmia","Angina","Heart Failure","Chest Pain","Coronary Artery Disease"),
H78="General Medicine",CHOOSE(RANDBETWEEN(1,6),"Viral Fever","Influenza","Diabetes","Gastritis","Typhoid","Food Poisoning"),
H78="Orthopedics",CHOOSE(RANDBETWEEN(1,6),"Fracture","Arthritis","Back Pain","Joint Pain","Knee Injury","Shoulder Dislocation"),
H78="Neurology",CHOOSE(RANDBETWEEN(1,6),"Migraine","Stroke","Epilepsy","Vertigo","Parkinson's Disease","Peripheral Neuropathy"),
H78="Pediatrics",CHOOSE(RANDBETWEEN(1,6),"Common Cold","Asthma","Pneumonia","Ear Infection","Viral Fever","Stomach Infection"),
H78="Dermatology",CHOOSE(RANDBETWEEN(1,6),"Acne","Eczema","Psoriasis","Fungal Infection","Heat Rash","Contact Dermatitis"),
H78="ENT",CHOOSE(RANDBETWEEN(1,6),"Sinusitis","Tonsillitis","Ear Infection","Throat Infection","Allergic Rhinitis","Otitis Media"),
H78="Gynecology",CHOOSE(RANDBETWEEN(1,6),"PCOS","UTI","Pregnancy Checkup","Menstrual Disorder","Ovarian Cyst","Endometriosis")
)</f>
        <v>Heart Failure</v>
      </c>
      <c r="F78" t="str" cm="1">
        <f t="array" ref="F78">_xlfn.SWITCH(K78,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78" t="s">
        <v>63</v>
      </c>
      <c r="H78" t="s">
        <v>24</v>
      </c>
      <c r="I78" t="s">
        <v>93</v>
      </c>
      <c r="J78" s="1">
        <v>45787</v>
      </c>
      <c r="K78" t="str">
        <f t="shared" si="11"/>
        <v>May</v>
      </c>
      <c r="L78">
        <f t="shared" si="8"/>
        <v>5</v>
      </c>
      <c r="M78" t="s">
        <v>60</v>
      </c>
      <c r="N78" t="s">
        <v>27</v>
      </c>
      <c r="O78">
        <v>1200</v>
      </c>
      <c r="P78">
        <v>900</v>
      </c>
      <c r="Q78">
        <v>800</v>
      </c>
      <c r="R78">
        <v>0</v>
      </c>
      <c r="S78" t="s">
        <v>28</v>
      </c>
      <c r="T78" t="s">
        <v>29</v>
      </c>
      <c r="U78">
        <v>2900</v>
      </c>
      <c r="V78">
        <v>0</v>
      </c>
      <c r="W78">
        <v>3.8</v>
      </c>
      <c r="X78" t="s">
        <v>435</v>
      </c>
      <c r="Y78" t="s">
        <v>636</v>
      </c>
      <c r="Z78" s="1">
        <v>45787</v>
      </c>
      <c r="AA78" s="1">
        <f>Table1[[#This Row],[Admission_Date]]+Table1[[#This Row],[Length_of_Stay]]</f>
        <v>45787</v>
      </c>
      <c r="AB78" t="str">
        <f t="shared" ca="1" si="9"/>
        <v>N/A</v>
      </c>
      <c r="AC78" t="str">
        <f ca="1">IF(AB78="General Ward","GW"&amp;TEXT(COUNTIF($AB$2:AB78,"General Ward"),"000"),IF(AB78="Semi Private","SP"&amp;TEXT(COUNTIF($AB$2:AB78,"Semi Private"),"000"),IF(AB78="Private Room","PR"&amp;TEXT(COUNTIF($AB$2:AB78,"Private Room"),"000"),IF(AB78="ICU","ICU"&amp;TEXT(COUNTIF($AB$2:AB78,"ICU"),"000"),"N/A"))))</f>
        <v>N/A</v>
      </c>
      <c r="AD78" t="str">
        <f t="shared" ca="1" si="12"/>
        <v>Not Admitted</v>
      </c>
      <c r="AE78" s="2" t="str">
        <f t="shared" ca="1" si="10"/>
        <v>N/A</v>
      </c>
    </row>
    <row r="79" spans="1:31" x14ac:dyDescent="0.3">
      <c r="A79" t="s">
        <v>216</v>
      </c>
      <c r="B79" t="s">
        <v>57</v>
      </c>
      <c r="C79" t="s">
        <v>32</v>
      </c>
      <c r="D79">
        <v>35</v>
      </c>
      <c r="E79" t="str" cm="1">
        <f t="array" aca="1" ref="E79" ca="1">_xlfn.IFS(
H79="Cardiology",CHOOSE(RANDBETWEEN(1,6),"Hypertension","Arrhythmia","Angina","Heart Failure","Chest Pain","Coronary Artery Disease"),
H79="General Medicine",CHOOSE(RANDBETWEEN(1,6),"Viral Fever","Influenza","Diabetes","Gastritis","Typhoid","Food Poisoning"),
H79="Orthopedics",CHOOSE(RANDBETWEEN(1,6),"Fracture","Arthritis","Back Pain","Joint Pain","Knee Injury","Shoulder Dislocation"),
H79="Neurology",CHOOSE(RANDBETWEEN(1,6),"Migraine","Stroke","Epilepsy","Vertigo","Parkinson's Disease","Peripheral Neuropathy"),
H79="Pediatrics",CHOOSE(RANDBETWEEN(1,6),"Common Cold","Asthma","Pneumonia","Ear Infection","Viral Fever","Stomach Infection"),
H79="Dermatology",CHOOSE(RANDBETWEEN(1,6),"Acne","Eczema","Psoriasis","Fungal Infection","Heat Rash","Contact Dermatitis"),
H79="ENT",CHOOSE(RANDBETWEEN(1,6),"Sinusitis","Tonsillitis","Ear Infection","Throat Infection","Allergic Rhinitis","Otitis Media"),
H79="Gynecology",CHOOSE(RANDBETWEEN(1,6),"PCOS","UTI","Pregnancy Checkup","Menstrual Disorder","Ovarian Cyst","Endometriosis")
)</f>
        <v>Allergic Rhinitis</v>
      </c>
      <c r="F79" t="str" cm="1">
        <f t="array" ref="F79">_xlfn.SWITCH(K79,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79" t="s">
        <v>77</v>
      </c>
      <c r="H79" t="s">
        <v>64</v>
      </c>
      <c r="I79" t="s">
        <v>99</v>
      </c>
      <c r="J79" s="1">
        <v>45788</v>
      </c>
      <c r="K79" t="str">
        <f t="shared" si="11"/>
        <v>May</v>
      </c>
      <c r="L79">
        <f t="shared" si="8"/>
        <v>5</v>
      </c>
      <c r="M79" t="s">
        <v>26</v>
      </c>
      <c r="N79" t="s">
        <v>27</v>
      </c>
      <c r="O79">
        <v>1000</v>
      </c>
      <c r="P79">
        <v>800</v>
      </c>
      <c r="Q79">
        <v>700</v>
      </c>
      <c r="R79">
        <v>0</v>
      </c>
      <c r="S79" t="s">
        <v>28</v>
      </c>
      <c r="T79" t="s">
        <v>50</v>
      </c>
      <c r="U79">
        <v>2500</v>
      </c>
      <c r="V79">
        <v>0</v>
      </c>
      <c r="W79">
        <v>4.5999999999999996</v>
      </c>
      <c r="X79" t="s">
        <v>436</v>
      </c>
      <c r="Y79" t="s">
        <v>637</v>
      </c>
      <c r="Z79" s="1">
        <v>45788</v>
      </c>
      <c r="AA79" s="1">
        <f>Table1[[#This Row],[Admission_Date]]+Table1[[#This Row],[Length_of_Stay]]</f>
        <v>45788</v>
      </c>
      <c r="AB79" t="str">
        <f t="shared" ca="1" si="9"/>
        <v>N/A</v>
      </c>
      <c r="AC79" t="str">
        <f ca="1">IF(AB79="General Ward","GW"&amp;TEXT(COUNTIF($AB$2:AB79,"General Ward"),"000"),IF(AB79="Semi Private","SP"&amp;TEXT(COUNTIF($AB$2:AB79,"Semi Private"),"000"),IF(AB79="Private Room","PR"&amp;TEXT(COUNTIF($AB$2:AB79,"Private Room"),"000"),IF(AB79="ICU","ICU"&amp;TEXT(COUNTIF($AB$2:AB79,"ICU"),"000"),"N/A"))))</f>
        <v>N/A</v>
      </c>
      <c r="AD79" t="str">
        <f t="shared" ca="1" si="12"/>
        <v>Not Admitted</v>
      </c>
      <c r="AE79" s="2" t="str">
        <f t="shared" ca="1" si="10"/>
        <v>N/A</v>
      </c>
    </row>
    <row r="80" spans="1:31" x14ac:dyDescent="0.3">
      <c r="A80" t="s">
        <v>217</v>
      </c>
      <c r="B80" t="s">
        <v>218</v>
      </c>
      <c r="C80" t="s">
        <v>22</v>
      </c>
      <c r="D80">
        <v>50</v>
      </c>
      <c r="E80" t="str" cm="1">
        <f t="array" aca="1" ref="E80" ca="1">_xlfn.IFS(
H80="Cardiology",CHOOSE(RANDBETWEEN(1,6),"Hypertension","Arrhythmia","Angina","Heart Failure","Chest Pain","Coronary Artery Disease"),
H80="General Medicine",CHOOSE(RANDBETWEEN(1,6),"Viral Fever","Influenza","Diabetes","Gastritis","Typhoid","Food Poisoning"),
H80="Orthopedics",CHOOSE(RANDBETWEEN(1,6),"Fracture","Arthritis","Back Pain","Joint Pain","Knee Injury","Shoulder Dislocation"),
H80="Neurology",CHOOSE(RANDBETWEEN(1,6),"Migraine","Stroke","Epilepsy","Vertigo","Parkinson's Disease","Peripheral Neuropathy"),
H80="Pediatrics",CHOOSE(RANDBETWEEN(1,6),"Common Cold","Asthma","Pneumonia","Ear Infection","Viral Fever","Stomach Infection"),
H80="Dermatology",CHOOSE(RANDBETWEEN(1,6),"Acne","Eczema","Psoriasis","Fungal Infection","Heat Rash","Contact Dermatitis"),
H80="ENT",CHOOSE(RANDBETWEEN(1,6),"Sinusitis","Tonsillitis","Ear Infection","Throat Infection","Allergic Rhinitis","Otitis Media"),
H80="Gynecology",CHOOSE(RANDBETWEEN(1,6),"PCOS","UTI","Pregnancy Checkup","Menstrual Disorder","Ovarian Cyst","Endometriosis")
)</f>
        <v>Gastritis</v>
      </c>
      <c r="F80" t="str" cm="1">
        <f t="array" ref="F80">_xlfn.SWITCH(K80,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80" t="s">
        <v>23</v>
      </c>
      <c r="H80" t="s">
        <v>73</v>
      </c>
      <c r="I80" t="s">
        <v>90</v>
      </c>
      <c r="J80" s="1">
        <v>45789</v>
      </c>
      <c r="K80" t="str">
        <f t="shared" si="11"/>
        <v>May</v>
      </c>
      <c r="L80">
        <f t="shared" si="8"/>
        <v>5</v>
      </c>
      <c r="M80" t="s">
        <v>26</v>
      </c>
      <c r="N80" t="s">
        <v>27</v>
      </c>
      <c r="O80">
        <v>800</v>
      </c>
      <c r="P80">
        <v>1200</v>
      </c>
      <c r="Q80">
        <v>900</v>
      </c>
      <c r="R80">
        <v>0</v>
      </c>
      <c r="S80" t="s">
        <v>28</v>
      </c>
      <c r="T80" t="s">
        <v>44</v>
      </c>
      <c r="U80">
        <v>2900</v>
      </c>
      <c r="V80">
        <v>0</v>
      </c>
      <c r="W80">
        <v>4.5</v>
      </c>
      <c r="X80" t="s">
        <v>437</v>
      </c>
      <c r="Y80" t="s">
        <v>638</v>
      </c>
      <c r="Z80" s="1">
        <v>45789</v>
      </c>
      <c r="AA80" s="1">
        <f>Table1[[#This Row],[Admission_Date]]+Table1[[#This Row],[Length_of_Stay]]</f>
        <v>45789</v>
      </c>
      <c r="AB80" t="str">
        <f t="shared" ca="1" si="9"/>
        <v>N/A</v>
      </c>
      <c r="AC80" t="str">
        <f ca="1">IF(AB80="General Ward","GW"&amp;TEXT(COUNTIF($AB$2:AB80,"General Ward"),"000"),IF(AB80="Semi Private","SP"&amp;TEXT(COUNTIF($AB$2:AB80,"Semi Private"),"000"),IF(AB80="Private Room","PR"&amp;TEXT(COUNTIF($AB$2:AB80,"Private Room"),"000"),IF(AB80="ICU","ICU"&amp;TEXT(COUNTIF($AB$2:AB80,"ICU"),"000"),"N/A"))))</f>
        <v>N/A</v>
      </c>
      <c r="AD80" t="str">
        <f t="shared" ca="1" si="12"/>
        <v>Not Admitted</v>
      </c>
      <c r="AE80" s="2" t="str">
        <f t="shared" ca="1" si="10"/>
        <v>N/A</v>
      </c>
    </row>
    <row r="81" spans="1:31" x14ac:dyDescent="0.3">
      <c r="A81" t="s">
        <v>219</v>
      </c>
      <c r="B81" t="s">
        <v>150</v>
      </c>
      <c r="C81" t="s">
        <v>32</v>
      </c>
      <c r="D81">
        <v>46</v>
      </c>
      <c r="E81" t="str" cm="1">
        <f t="array" aca="1" ref="E81" ca="1">_xlfn.IFS(
H81="Cardiology",CHOOSE(RANDBETWEEN(1,6),"Hypertension","Arrhythmia","Angina","Heart Failure","Chest Pain","Coronary Artery Disease"),
H81="General Medicine",CHOOSE(RANDBETWEEN(1,6),"Viral Fever","Influenza","Diabetes","Gastritis","Typhoid","Food Poisoning"),
H81="Orthopedics",CHOOSE(RANDBETWEEN(1,6),"Fracture","Arthritis","Back Pain","Joint Pain","Knee Injury","Shoulder Dislocation"),
H81="Neurology",CHOOSE(RANDBETWEEN(1,6),"Migraine","Stroke","Epilepsy","Vertigo","Parkinson's Disease","Peripheral Neuropathy"),
H81="Pediatrics",CHOOSE(RANDBETWEEN(1,6),"Common Cold","Asthma","Pneumonia","Ear Infection","Viral Fever","Stomach Infection"),
H81="Dermatology",CHOOSE(RANDBETWEEN(1,6),"Acne","Eczema","Psoriasis","Fungal Infection","Heat Rash","Contact Dermatitis"),
H81="ENT",CHOOSE(RANDBETWEEN(1,6),"Sinusitis","Tonsillitis","Ear Infection","Throat Infection","Allergic Rhinitis","Otitis Media"),
H81="Gynecology",CHOOSE(RANDBETWEEN(1,6),"PCOS","UTI","Pregnancy Checkup","Menstrual Disorder","Ovarian Cyst","Endometriosis")
)</f>
        <v>Shoulder Dislocation</v>
      </c>
      <c r="F81" t="str" cm="1">
        <f t="array" ref="F81">_xlfn.SWITCH(K81,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81" t="s">
        <v>47</v>
      </c>
      <c r="H81" t="s">
        <v>41</v>
      </c>
      <c r="I81" t="s">
        <v>102</v>
      </c>
      <c r="J81" s="1">
        <v>45790</v>
      </c>
      <c r="K81" t="str">
        <f t="shared" si="11"/>
        <v>May</v>
      </c>
      <c r="L81">
        <f t="shared" si="8"/>
        <v>5</v>
      </c>
      <c r="M81" t="s">
        <v>26</v>
      </c>
      <c r="N81" t="s">
        <v>36</v>
      </c>
      <c r="O81">
        <v>1800</v>
      </c>
      <c r="P81">
        <v>5500</v>
      </c>
      <c r="Q81">
        <v>3000</v>
      </c>
      <c r="R81">
        <v>19000</v>
      </c>
      <c r="S81" t="s">
        <v>37</v>
      </c>
      <c r="T81" t="s">
        <v>15</v>
      </c>
      <c r="U81">
        <v>29300</v>
      </c>
      <c r="V81">
        <v>5</v>
      </c>
      <c r="W81">
        <v>4.9000000000000004</v>
      </c>
      <c r="X81" t="s">
        <v>438</v>
      </c>
      <c r="Y81" t="s">
        <v>639</v>
      </c>
      <c r="Z81" s="1">
        <v>45790</v>
      </c>
      <c r="AA81" s="1">
        <f>Table1[[#This Row],[Admission_Date]]+Table1[[#This Row],[Length_of_Stay]]</f>
        <v>45795</v>
      </c>
      <c r="AB81" t="str">
        <f t="shared" ca="1" si="9"/>
        <v>Semi Private</v>
      </c>
      <c r="AC81" t="str">
        <f ca="1">IF(AB81="General Ward","GW"&amp;TEXT(COUNTIF($AB$2:AB81,"General Ward"),"000"),IF(AB81="Semi Private","SP"&amp;TEXT(COUNTIF($AB$2:AB81,"Semi Private"),"000"),IF(AB81="Private Room","PR"&amp;TEXT(COUNTIF($AB$2:AB81,"Private Room"),"000"),IF(AB81="ICU","ICU"&amp;TEXT(COUNTIF($AB$2:AB81,"ICU"),"000"),"N/A"))))</f>
        <v>SP011</v>
      </c>
      <c r="AD81" t="str">
        <f t="shared" ca="1" si="12"/>
        <v>Available</v>
      </c>
      <c r="AE81" s="2" t="str">
        <f t="shared" ca="1" si="10"/>
        <v>Walk-in</v>
      </c>
    </row>
    <row r="82" spans="1:31" x14ac:dyDescent="0.3">
      <c r="A82" t="s">
        <v>220</v>
      </c>
      <c r="B82" t="s">
        <v>144</v>
      </c>
      <c r="C82" t="s">
        <v>22</v>
      </c>
      <c r="D82">
        <v>32</v>
      </c>
      <c r="E82" t="str" cm="1">
        <f t="array" aca="1" ref="E82" ca="1">_xlfn.IFS(
H82="Cardiology",CHOOSE(RANDBETWEEN(1,6),"Hypertension","Arrhythmia","Angina","Heart Failure","Chest Pain","Coronary Artery Disease"),
H82="General Medicine",CHOOSE(RANDBETWEEN(1,6),"Viral Fever","Influenza","Diabetes","Gastritis","Typhoid","Food Poisoning"),
H82="Orthopedics",CHOOSE(RANDBETWEEN(1,6),"Fracture","Arthritis","Back Pain","Joint Pain","Knee Injury","Shoulder Dislocation"),
H82="Neurology",CHOOSE(RANDBETWEEN(1,6),"Migraine","Stroke","Epilepsy","Vertigo","Parkinson's Disease","Peripheral Neuropathy"),
H82="Pediatrics",CHOOSE(RANDBETWEEN(1,6),"Common Cold","Asthma","Pneumonia","Ear Infection","Viral Fever","Stomach Infection"),
H82="Dermatology",CHOOSE(RANDBETWEEN(1,6),"Acne","Eczema","Psoriasis","Fungal Infection","Heat Rash","Contact Dermatitis"),
H82="ENT",CHOOSE(RANDBETWEEN(1,6),"Sinusitis","Tonsillitis","Ear Infection","Throat Infection","Allergic Rhinitis","Otitis Media"),
H82="Gynecology",CHOOSE(RANDBETWEEN(1,6),"PCOS","UTI","Pregnancy Checkup","Menstrual Disorder","Ovarian Cyst","Endometriosis")
)</f>
        <v>Acne</v>
      </c>
      <c r="F82" t="str" cm="1">
        <f t="array" ref="F82">_xlfn.SWITCH(K82,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82" t="s">
        <v>40</v>
      </c>
      <c r="H82" t="s">
        <v>58</v>
      </c>
      <c r="I82" t="s">
        <v>151</v>
      </c>
      <c r="J82" s="1">
        <v>45791</v>
      </c>
      <c r="K82" t="str">
        <f t="shared" si="11"/>
        <v>May</v>
      </c>
      <c r="L82">
        <f t="shared" si="8"/>
        <v>5</v>
      </c>
      <c r="M82" t="s">
        <v>26</v>
      </c>
      <c r="N82" t="s">
        <v>27</v>
      </c>
      <c r="O82">
        <v>900</v>
      </c>
      <c r="P82">
        <v>700</v>
      </c>
      <c r="Q82">
        <v>600</v>
      </c>
      <c r="R82">
        <v>0</v>
      </c>
      <c r="S82" t="s">
        <v>28</v>
      </c>
      <c r="T82" t="s">
        <v>29</v>
      </c>
      <c r="U82">
        <v>2200</v>
      </c>
      <c r="V82">
        <v>0</v>
      </c>
      <c r="W82">
        <v>4.7</v>
      </c>
      <c r="X82" t="s">
        <v>439</v>
      </c>
      <c r="Y82" t="s">
        <v>640</v>
      </c>
      <c r="Z82" s="1">
        <v>45791</v>
      </c>
      <c r="AA82" s="1">
        <f>Table1[[#This Row],[Admission_Date]]+Table1[[#This Row],[Length_of_Stay]]</f>
        <v>45791</v>
      </c>
      <c r="AB82" t="str">
        <f t="shared" ca="1" si="9"/>
        <v>N/A</v>
      </c>
      <c r="AC82" t="str">
        <f ca="1">IF(AB82="General Ward","GW"&amp;TEXT(COUNTIF($AB$2:AB82,"General Ward"),"000"),IF(AB82="Semi Private","SP"&amp;TEXT(COUNTIF($AB$2:AB82,"Semi Private"),"000"),IF(AB82="Private Room","PR"&amp;TEXT(COUNTIF($AB$2:AB82,"Private Room"),"000"),IF(AB82="ICU","ICU"&amp;TEXT(COUNTIF($AB$2:AB82,"ICU"),"000"),"N/A"))))</f>
        <v>N/A</v>
      </c>
      <c r="AD82" t="str">
        <f t="shared" ca="1" si="12"/>
        <v>Not Admitted</v>
      </c>
      <c r="AE82" s="2" t="str">
        <f t="shared" ca="1" si="10"/>
        <v>N/A</v>
      </c>
    </row>
    <row r="83" spans="1:31" x14ac:dyDescent="0.3">
      <c r="A83" t="s">
        <v>221</v>
      </c>
      <c r="B83" t="s">
        <v>222</v>
      </c>
      <c r="C83" t="s">
        <v>32</v>
      </c>
      <c r="D83">
        <v>28</v>
      </c>
      <c r="E83" t="str" cm="1">
        <f t="array" aca="1" ref="E83" ca="1">_xlfn.IFS(
H83="Cardiology",CHOOSE(RANDBETWEEN(1,6),"Hypertension","Arrhythmia","Angina","Heart Failure","Chest Pain","Coronary Artery Disease"),
H83="General Medicine",CHOOSE(RANDBETWEEN(1,6),"Viral Fever","Influenza","Diabetes","Gastritis","Typhoid","Food Poisoning"),
H83="Orthopedics",CHOOSE(RANDBETWEEN(1,6),"Fracture","Arthritis","Back Pain","Joint Pain","Knee Injury","Shoulder Dislocation"),
H83="Neurology",CHOOSE(RANDBETWEEN(1,6),"Migraine","Stroke","Epilepsy","Vertigo","Parkinson's Disease","Peripheral Neuropathy"),
H83="Pediatrics",CHOOSE(RANDBETWEEN(1,6),"Common Cold","Asthma","Pneumonia","Ear Infection","Viral Fever","Stomach Infection"),
H83="Dermatology",CHOOSE(RANDBETWEEN(1,6),"Acne","Eczema","Psoriasis","Fungal Infection","Heat Rash","Contact Dermatitis"),
H83="ENT",CHOOSE(RANDBETWEEN(1,6),"Sinusitis","Tonsillitis","Ear Infection","Throat Infection","Allergic Rhinitis","Otitis Media"),
H83="Gynecology",CHOOSE(RANDBETWEEN(1,6),"PCOS","UTI","Pregnancy Checkup","Menstrual Disorder","Ovarian Cyst","Endometriosis")
)</f>
        <v>PCOS</v>
      </c>
      <c r="F83" t="str" cm="1">
        <f t="array" ref="F83">_xlfn.SWITCH(K83,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83" t="s">
        <v>33</v>
      </c>
      <c r="H83" t="s">
        <v>34</v>
      </c>
      <c r="I83" t="s">
        <v>165</v>
      </c>
      <c r="J83" s="1">
        <v>45792</v>
      </c>
      <c r="K83" t="str">
        <f t="shared" si="11"/>
        <v>May</v>
      </c>
      <c r="L83">
        <f t="shared" si="8"/>
        <v>5</v>
      </c>
      <c r="M83" t="s">
        <v>26</v>
      </c>
      <c r="N83" t="s">
        <v>27</v>
      </c>
      <c r="O83">
        <v>1200</v>
      </c>
      <c r="P83">
        <v>900</v>
      </c>
      <c r="Q83">
        <v>800</v>
      </c>
      <c r="R83">
        <v>0</v>
      </c>
      <c r="S83" t="s">
        <v>28</v>
      </c>
      <c r="T83" t="s">
        <v>50</v>
      </c>
      <c r="U83">
        <v>2900</v>
      </c>
      <c r="V83">
        <v>0</v>
      </c>
      <c r="W83">
        <v>4.8</v>
      </c>
      <c r="X83" t="s">
        <v>440</v>
      </c>
      <c r="Y83" t="s">
        <v>641</v>
      </c>
      <c r="Z83" s="1">
        <v>45792</v>
      </c>
      <c r="AA83" s="1">
        <f>Table1[[#This Row],[Admission_Date]]+Table1[[#This Row],[Length_of_Stay]]</f>
        <v>45792</v>
      </c>
      <c r="AB83" t="str">
        <f t="shared" ca="1" si="9"/>
        <v>N/A</v>
      </c>
      <c r="AC83" t="str">
        <f ca="1">IF(AB83="General Ward","GW"&amp;TEXT(COUNTIF($AB$2:AB83,"General Ward"),"000"),IF(AB83="Semi Private","SP"&amp;TEXT(COUNTIF($AB$2:AB83,"Semi Private"),"000"),IF(AB83="Private Room","PR"&amp;TEXT(COUNTIF($AB$2:AB83,"Private Room"),"000"),IF(AB83="ICU","ICU"&amp;TEXT(COUNTIF($AB$2:AB83,"ICU"),"000"),"N/A"))))</f>
        <v>N/A</v>
      </c>
      <c r="AD83" t="str">
        <f t="shared" ca="1" si="12"/>
        <v>Not Admitted</v>
      </c>
      <c r="AE83" s="2" t="str">
        <f t="shared" ca="1" si="10"/>
        <v>N/A</v>
      </c>
    </row>
    <row r="84" spans="1:31" x14ac:dyDescent="0.3">
      <c r="A84" t="s">
        <v>223</v>
      </c>
      <c r="B84" t="s">
        <v>224</v>
      </c>
      <c r="C84" t="s">
        <v>22</v>
      </c>
      <c r="D84">
        <v>64</v>
      </c>
      <c r="E84" t="str" cm="1">
        <f t="array" aca="1" ref="E84" ca="1">_xlfn.IFS(
H84="Cardiology",CHOOSE(RANDBETWEEN(1,6),"Hypertension","Arrhythmia","Angina","Heart Failure","Chest Pain","Coronary Artery Disease"),
H84="General Medicine",CHOOSE(RANDBETWEEN(1,6),"Viral Fever","Influenza","Diabetes","Gastritis","Typhoid","Food Poisoning"),
H84="Orthopedics",CHOOSE(RANDBETWEEN(1,6),"Fracture","Arthritis","Back Pain","Joint Pain","Knee Injury","Shoulder Dislocation"),
H84="Neurology",CHOOSE(RANDBETWEEN(1,6),"Migraine","Stroke","Epilepsy","Vertigo","Parkinson's Disease","Peripheral Neuropathy"),
H84="Pediatrics",CHOOSE(RANDBETWEEN(1,6),"Common Cold","Asthma","Pneumonia","Ear Infection","Viral Fever","Stomach Infection"),
H84="Dermatology",CHOOSE(RANDBETWEEN(1,6),"Acne","Eczema","Psoriasis","Fungal Infection","Heat Rash","Contact Dermatitis"),
H84="ENT",CHOOSE(RANDBETWEEN(1,6),"Sinusitis","Tonsillitis","Ear Infection","Throat Infection","Allergic Rhinitis","Otitis Media"),
H84="Gynecology",CHOOSE(RANDBETWEEN(1,6),"PCOS","UTI","Pregnancy Checkup","Menstrual Disorder","Ovarian Cyst","Endometriosis")
)</f>
        <v>Chest Pain</v>
      </c>
      <c r="F84" t="str" cm="1">
        <f t="array" ref="F84">_xlfn.SWITCH(K84,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84" t="s">
        <v>53</v>
      </c>
      <c r="H84" t="s">
        <v>24</v>
      </c>
      <c r="I84" t="s">
        <v>25</v>
      </c>
      <c r="J84" s="1">
        <v>45793</v>
      </c>
      <c r="K84" t="str">
        <f t="shared" si="11"/>
        <v>May</v>
      </c>
      <c r="L84">
        <f t="shared" si="8"/>
        <v>5</v>
      </c>
      <c r="M84" t="s">
        <v>26</v>
      </c>
      <c r="N84" t="s">
        <v>36</v>
      </c>
      <c r="O84">
        <v>2000</v>
      </c>
      <c r="P84">
        <v>8500</v>
      </c>
      <c r="Q84">
        <v>4500</v>
      </c>
      <c r="R84">
        <v>26000</v>
      </c>
      <c r="S84" t="s">
        <v>37</v>
      </c>
      <c r="T84" t="s">
        <v>15</v>
      </c>
      <c r="U84">
        <v>41000</v>
      </c>
      <c r="V84">
        <v>7</v>
      </c>
      <c r="W84">
        <v>5</v>
      </c>
      <c r="X84" t="s">
        <v>441</v>
      </c>
      <c r="Y84" t="s">
        <v>642</v>
      </c>
      <c r="Z84" s="1">
        <v>45793</v>
      </c>
      <c r="AA84" s="1">
        <f>Table1[[#This Row],[Admission_Date]]+Table1[[#This Row],[Length_of_Stay]]</f>
        <v>45800</v>
      </c>
      <c r="AB84" t="str">
        <f t="shared" ca="1" si="9"/>
        <v>General Ward</v>
      </c>
      <c r="AC84" t="str">
        <f ca="1">IF(AB84="General Ward","GW"&amp;TEXT(COUNTIF($AB$2:AB84,"General Ward"),"000"),IF(AB84="Semi Private","SP"&amp;TEXT(COUNTIF($AB$2:AB84,"Semi Private"),"000"),IF(AB84="Private Room","PR"&amp;TEXT(COUNTIF($AB$2:AB84,"Private Room"),"000"),IF(AB84="ICU","ICU"&amp;TEXT(COUNTIF($AB$2:AB84,"ICU"),"000"),"N/A"))))</f>
        <v>GW002</v>
      </c>
      <c r="AD84" t="str">
        <f t="shared" ca="1" si="12"/>
        <v>Occupied</v>
      </c>
      <c r="AE84" s="2" t="str">
        <f t="shared" ca="1" si="10"/>
        <v>Emergency</v>
      </c>
    </row>
    <row r="85" spans="1:31" x14ac:dyDescent="0.3">
      <c r="A85" t="s">
        <v>225</v>
      </c>
      <c r="B85" t="s">
        <v>126</v>
      </c>
      <c r="C85" t="s">
        <v>32</v>
      </c>
      <c r="D85">
        <v>15</v>
      </c>
      <c r="E85" t="str" cm="1">
        <f t="array" aca="1" ref="E85" ca="1">_xlfn.IFS(
H85="Cardiology",CHOOSE(RANDBETWEEN(1,6),"Hypertension","Arrhythmia","Angina","Heart Failure","Chest Pain","Coronary Artery Disease"),
H85="General Medicine",CHOOSE(RANDBETWEEN(1,6),"Viral Fever","Influenza","Diabetes","Gastritis","Typhoid","Food Poisoning"),
H85="Orthopedics",CHOOSE(RANDBETWEEN(1,6),"Fracture","Arthritis","Back Pain","Joint Pain","Knee Injury","Shoulder Dislocation"),
H85="Neurology",CHOOSE(RANDBETWEEN(1,6),"Migraine","Stroke","Epilepsy","Vertigo","Parkinson's Disease","Peripheral Neuropathy"),
H85="Pediatrics",CHOOSE(RANDBETWEEN(1,6),"Common Cold","Asthma","Pneumonia","Ear Infection","Viral Fever","Stomach Infection"),
H85="Dermatology",CHOOSE(RANDBETWEEN(1,6),"Acne","Eczema","Psoriasis","Fungal Infection","Heat Rash","Contact Dermatitis"),
H85="ENT",CHOOSE(RANDBETWEEN(1,6),"Sinusitis","Tonsillitis","Ear Infection","Throat Infection","Allergic Rhinitis","Otitis Media"),
H85="Gynecology",CHOOSE(RANDBETWEEN(1,6),"PCOS","UTI","Pregnancy Checkup","Menstrual Disorder","Ovarian Cyst","Endometriosis")
)</f>
        <v>Common Cold</v>
      </c>
      <c r="F85" t="str" cm="1">
        <f t="array" ref="F85">_xlfn.SWITCH(K85,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85" t="s">
        <v>68</v>
      </c>
      <c r="H85" t="s">
        <v>48</v>
      </c>
      <c r="I85" t="s">
        <v>49</v>
      </c>
      <c r="J85" s="1">
        <v>45794</v>
      </c>
      <c r="K85" t="str">
        <f t="shared" si="11"/>
        <v>May</v>
      </c>
      <c r="L85">
        <f t="shared" si="8"/>
        <v>5</v>
      </c>
      <c r="M85" t="s">
        <v>26</v>
      </c>
      <c r="N85" t="s">
        <v>27</v>
      </c>
      <c r="O85">
        <v>700</v>
      </c>
      <c r="P85">
        <v>500</v>
      </c>
      <c r="Q85">
        <v>400</v>
      </c>
      <c r="R85">
        <v>0</v>
      </c>
      <c r="S85" t="s">
        <v>28</v>
      </c>
      <c r="T85" t="s">
        <v>44</v>
      </c>
      <c r="U85">
        <v>1600</v>
      </c>
      <c r="V85">
        <v>0</v>
      </c>
      <c r="W85">
        <v>4.9000000000000004</v>
      </c>
      <c r="X85" t="s">
        <v>442</v>
      </c>
      <c r="Y85" t="s">
        <v>643</v>
      </c>
      <c r="Z85" s="1">
        <v>45794</v>
      </c>
      <c r="AA85" s="1">
        <f>Table1[[#This Row],[Admission_Date]]+Table1[[#This Row],[Length_of_Stay]]</f>
        <v>45794</v>
      </c>
      <c r="AB85" t="str">
        <f t="shared" ca="1" si="9"/>
        <v>N/A</v>
      </c>
      <c r="AC85" t="str">
        <f ca="1">IF(AB85="General Ward","GW"&amp;TEXT(COUNTIF($AB$2:AB85,"General Ward"),"000"),IF(AB85="Semi Private","SP"&amp;TEXT(COUNTIF($AB$2:AB85,"Semi Private"),"000"),IF(AB85="Private Room","PR"&amp;TEXT(COUNTIF($AB$2:AB85,"Private Room"),"000"),IF(AB85="ICU","ICU"&amp;TEXT(COUNTIF($AB$2:AB85,"ICU"),"000"),"N/A"))))</f>
        <v>N/A</v>
      </c>
      <c r="AD85" t="str">
        <f t="shared" ca="1" si="12"/>
        <v>Not Admitted</v>
      </c>
      <c r="AE85" s="2" t="str">
        <f t="shared" ca="1" si="10"/>
        <v>N/A</v>
      </c>
    </row>
    <row r="86" spans="1:31" x14ac:dyDescent="0.3">
      <c r="A86" t="s">
        <v>226</v>
      </c>
      <c r="B86" t="s">
        <v>80</v>
      </c>
      <c r="C86" t="s">
        <v>22</v>
      </c>
      <c r="D86">
        <v>41</v>
      </c>
      <c r="E86" t="str" cm="1">
        <f t="array" aca="1" ref="E86" ca="1">_xlfn.IFS(
H86="Cardiology",CHOOSE(RANDBETWEEN(1,6),"Hypertension","Arrhythmia","Angina","Heart Failure","Chest Pain","Coronary Artery Disease"),
H86="General Medicine",CHOOSE(RANDBETWEEN(1,6),"Viral Fever","Influenza","Diabetes","Gastritis","Typhoid","Food Poisoning"),
H86="Orthopedics",CHOOSE(RANDBETWEEN(1,6),"Fracture","Arthritis","Back Pain","Joint Pain","Knee Injury","Shoulder Dislocation"),
H86="Neurology",CHOOSE(RANDBETWEEN(1,6),"Migraine","Stroke","Epilepsy","Vertigo","Parkinson's Disease","Peripheral Neuropathy"),
H86="Pediatrics",CHOOSE(RANDBETWEEN(1,6),"Common Cold","Asthma","Pneumonia","Ear Infection","Viral Fever","Stomach Infection"),
H86="Dermatology",CHOOSE(RANDBETWEEN(1,6),"Acne","Eczema","Psoriasis","Fungal Infection","Heat Rash","Contact Dermatitis"),
H86="ENT",CHOOSE(RANDBETWEEN(1,6),"Sinusitis","Tonsillitis","Ear Infection","Throat Infection","Allergic Rhinitis","Otitis Media"),
H86="Gynecology",CHOOSE(RANDBETWEEN(1,6),"PCOS","UTI","Pregnancy Checkup","Menstrual Disorder","Ovarian Cyst","Endometriosis")
)</f>
        <v>Shoulder Dislocation</v>
      </c>
      <c r="F86" t="str" cm="1">
        <f t="array" ref="F86">_xlfn.SWITCH(K86,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86" t="s">
        <v>72</v>
      </c>
      <c r="H86" t="s">
        <v>41</v>
      </c>
      <c r="I86" t="s">
        <v>42</v>
      </c>
      <c r="J86" s="1">
        <v>45795</v>
      </c>
      <c r="K86" t="str">
        <f t="shared" si="11"/>
        <v>May</v>
      </c>
      <c r="L86">
        <f t="shared" si="8"/>
        <v>5</v>
      </c>
      <c r="M86" t="s">
        <v>43</v>
      </c>
      <c r="N86" t="s">
        <v>27</v>
      </c>
      <c r="O86">
        <v>1400</v>
      </c>
      <c r="P86">
        <v>1700</v>
      </c>
      <c r="Q86">
        <v>1000</v>
      </c>
      <c r="R86">
        <v>0</v>
      </c>
      <c r="S86" t="s">
        <v>28</v>
      </c>
      <c r="T86" t="s">
        <v>29</v>
      </c>
      <c r="U86">
        <v>4100</v>
      </c>
      <c r="V86">
        <v>0</v>
      </c>
      <c r="W86">
        <v>4.2</v>
      </c>
      <c r="X86" t="s">
        <v>443</v>
      </c>
      <c r="Y86" t="s">
        <v>644</v>
      </c>
      <c r="Z86" s="1">
        <v>45795</v>
      </c>
      <c r="AA86" s="1">
        <f>Table1[[#This Row],[Admission_Date]]+Table1[[#This Row],[Length_of_Stay]]</f>
        <v>45795</v>
      </c>
      <c r="AB86" t="str">
        <f t="shared" ca="1" si="9"/>
        <v>N/A</v>
      </c>
      <c r="AC86" t="str">
        <f ca="1">IF(AB86="General Ward","GW"&amp;TEXT(COUNTIF($AB$2:AB86,"General Ward"),"000"),IF(AB86="Semi Private","SP"&amp;TEXT(COUNTIF($AB$2:AB86,"Semi Private"),"000"),IF(AB86="Private Room","PR"&amp;TEXT(COUNTIF($AB$2:AB86,"Private Room"),"000"),IF(AB86="ICU","ICU"&amp;TEXT(COUNTIF($AB$2:AB86,"ICU"),"000"),"N/A"))))</f>
        <v>N/A</v>
      </c>
      <c r="AD86" t="str">
        <f t="shared" ca="1" si="12"/>
        <v>Not Admitted</v>
      </c>
      <c r="AE86" s="2" t="str">
        <f t="shared" ca="1" si="10"/>
        <v>N/A</v>
      </c>
    </row>
    <row r="87" spans="1:31" x14ac:dyDescent="0.3">
      <c r="A87" t="s">
        <v>227</v>
      </c>
      <c r="B87" t="s">
        <v>95</v>
      </c>
      <c r="C87" t="s">
        <v>32</v>
      </c>
      <c r="D87">
        <v>37</v>
      </c>
      <c r="E87" t="str" cm="1">
        <f t="array" aca="1" ref="E87" ca="1">_xlfn.IFS(
H87="Cardiology",CHOOSE(RANDBETWEEN(1,6),"Hypertension","Arrhythmia","Angina","Heart Failure","Chest Pain","Coronary Artery Disease"),
H87="General Medicine",CHOOSE(RANDBETWEEN(1,6),"Viral Fever","Influenza","Diabetes","Gastritis","Typhoid","Food Poisoning"),
H87="Orthopedics",CHOOSE(RANDBETWEEN(1,6),"Fracture","Arthritis","Back Pain","Joint Pain","Knee Injury","Shoulder Dislocation"),
H87="Neurology",CHOOSE(RANDBETWEEN(1,6),"Migraine","Stroke","Epilepsy","Vertigo","Parkinson's Disease","Peripheral Neuropathy"),
H87="Pediatrics",CHOOSE(RANDBETWEEN(1,6),"Common Cold","Asthma","Pneumonia","Ear Infection","Viral Fever","Stomach Infection"),
H87="Dermatology",CHOOSE(RANDBETWEEN(1,6),"Acne","Eczema","Psoriasis","Fungal Infection","Heat Rash","Contact Dermatitis"),
H87="ENT",CHOOSE(RANDBETWEEN(1,6),"Sinusitis","Tonsillitis","Ear Infection","Throat Infection","Allergic Rhinitis","Otitis Media"),
H87="Gynecology",CHOOSE(RANDBETWEEN(1,6),"PCOS","UTI","Pregnancy Checkup","Menstrual Disorder","Ovarian Cyst","Endometriosis")
)</f>
        <v>Otitis Media</v>
      </c>
      <c r="F87" t="str" cm="1">
        <f t="array" ref="F87">_xlfn.SWITCH(K87,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87" t="s">
        <v>63</v>
      </c>
      <c r="H87" t="s">
        <v>64</v>
      </c>
      <c r="I87" t="s">
        <v>78</v>
      </c>
      <c r="J87" s="1">
        <v>45796</v>
      </c>
      <c r="K87" t="str">
        <f t="shared" si="11"/>
        <v>May</v>
      </c>
      <c r="L87">
        <f t="shared" si="8"/>
        <v>5</v>
      </c>
      <c r="M87" t="s">
        <v>26</v>
      </c>
      <c r="N87" t="s">
        <v>27</v>
      </c>
      <c r="O87">
        <v>1000</v>
      </c>
      <c r="P87">
        <v>800</v>
      </c>
      <c r="Q87">
        <v>700</v>
      </c>
      <c r="R87">
        <v>0</v>
      </c>
      <c r="S87" t="s">
        <v>28</v>
      </c>
      <c r="T87" t="s">
        <v>50</v>
      </c>
      <c r="U87">
        <v>2500</v>
      </c>
      <c r="V87">
        <v>0</v>
      </c>
      <c r="W87">
        <v>4.5999999999999996</v>
      </c>
      <c r="X87" t="s">
        <v>444</v>
      </c>
      <c r="Y87" t="s">
        <v>645</v>
      </c>
      <c r="Z87" s="1">
        <v>45796</v>
      </c>
      <c r="AA87" s="1">
        <f>Table1[[#This Row],[Admission_Date]]+Table1[[#This Row],[Length_of_Stay]]</f>
        <v>45796</v>
      </c>
      <c r="AB87" t="str">
        <f t="shared" ca="1" si="9"/>
        <v>N/A</v>
      </c>
      <c r="AC87" t="str">
        <f ca="1">IF(AB87="General Ward","GW"&amp;TEXT(COUNTIF($AB$2:AB87,"General Ward"),"000"),IF(AB87="Semi Private","SP"&amp;TEXT(COUNTIF($AB$2:AB87,"Semi Private"),"000"),IF(AB87="Private Room","PR"&amp;TEXT(COUNTIF($AB$2:AB87,"Private Room"),"000"),IF(AB87="ICU","ICU"&amp;TEXT(COUNTIF($AB$2:AB87,"ICU"),"000"),"N/A"))))</f>
        <v>N/A</v>
      </c>
      <c r="AD87" t="str">
        <f t="shared" ca="1" si="12"/>
        <v>Not Admitted</v>
      </c>
      <c r="AE87" s="2" t="str">
        <f t="shared" ca="1" si="10"/>
        <v>N/A</v>
      </c>
    </row>
    <row r="88" spans="1:31" x14ac:dyDescent="0.3">
      <c r="A88" t="s">
        <v>228</v>
      </c>
      <c r="B88" t="s">
        <v>229</v>
      </c>
      <c r="C88" t="s">
        <v>22</v>
      </c>
      <c r="D88">
        <v>56</v>
      </c>
      <c r="E88" t="str" cm="1">
        <f t="array" aca="1" ref="E88" ca="1">_xlfn.IFS(
H88="Cardiology",CHOOSE(RANDBETWEEN(1,6),"Hypertension","Arrhythmia","Angina","Heart Failure","Chest Pain","Coronary Artery Disease"),
H88="General Medicine",CHOOSE(RANDBETWEEN(1,6),"Viral Fever","Influenza","Diabetes","Gastritis","Typhoid","Food Poisoning"),
H88="Orthopedics",CHOOSE(RANDBETWEEN(1,6),"Fracture","Arthritis","Back Pain","Joint Pain","Knee Injury","Shoulder Dislocation"),
H88="Neurology",CHOOSE(RANDBETWEEN(1,6),"Migraine","Stroke","Epilepsy","Vertigo","Parkinson's Disease","Peripheral Neuropathy"),
H88="Pediatrics",CHOOSE(RANDBETWEEN(1,6),"Common Cold","Asthma","Pneumonia","Ear Infection","Viral Fever","Stomach Infection"),
H88="Dermatology",CHOOSE(RANDBETWEEN(1,6),"Acne","Eczema","Psoriasis","Fungal Infection","Heat Rash","Contact Dermatitis"),
H88="ENT",CHOOSE(RANDBETWEEN(1,6),"Sinusitis","Tonsillitis","Ear Infection","Throat Infection","Allergic Rhinitis","Otitis Media"),
H88="Gynecology",CHOOSE(RANDBETWEEN(1,6),"PCOS","UTI","Pregnancy Checkup","Menstrual Disorder","Ovarian Cyst","Endometriosis")
)</f>
        <v>Typhoid</v>
      </c>
      <c r="F88" t="str" cm="1">
        <f t="array" ref="F88">_xlfn.SWITCH(K88,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88" t="s">
        <v>77</v>
      </c>
      <c r="H88" t="s">
        <v>73</v>
      </c>
      <c r="I88" t="s">
        <v>74</v>
      </c>
      <c r="J88" s="1">
        <v>45797</v>
      </c>
      <c r="K88" t="str">
        <f t="shared" si="11"/>
        <v>May</v>
      </c>
      <c r="L88">
        <f t="shared" si="8"/>
        <v>5</v>
      </c>
      <c r="M88" t="s">
        <v>26</v>
      </c>
      <c r="N88" t="s">
        <v>36</v>
      </c>
      <c r="O88">
        <v>1800</v>
      </c>
      <c r="P88">
        <v>6200</v>
      </c>
      <c r="Q88">
        <v>3200</v>
      </c>
      <c r="R88">
        <v>20000</v>
      </c>
      <c r="S88" t="s">
        <v>37</v>
      </c>
      <c r="T88" t="s">
        <v>15</v>
      </c>
      <c r="U88">
        <v>31200</v>
      </c>
      <c r="V88">
        <v>5</v>
      </c>
      <c r="W88">
        <v>4.8</v>
      </c>
      <c r="X88" t="s">
        <v>445</v>
      </c>
      <c r="Y88" t="s">
        <v>646</v>
      </c>
      <c r="Z88" s="1">
        <v>45797</v>
      </c>
      <c r="AA88" s="1">
        <f>Table1[[#This Row],[Admission_Date]]+Table1[[#This Row],[Length_of_Stay]]</f>
        <v>45802</v>
      </c>
      <c r="AB88" t="str">
        <f t="shared" ca="1" si="9"/>
        <v>General Ward</v>
      </c>
      <c r="AC88" t="str">
        <f ca="1">IF(AB88="General Ward","GW"&amp;TEXT(COUNTIF($AB$2:AB88,"General Ward"),"000"),IF(AB88="Semi Private","SP"&amp;TEXT(COUNTIF($AB$2:AB88,"Semi Private"),"000"),IF(AB88="Private Room","PR"&amp;TEXT(COUNTIF($AB$2:AB88,"Private Room"),"000"),IF(AB88="ICU","ICU"&amp;TEXT(COUNTIF($AB$2:AB88,"ICU"),"000"),"N/A"))))</f>
        <v>GW003</v>
      </c>
      <c r="AD88" t="str">
        <f t="shared" ca="1" si="12"/>
        <v>Available</v>
      </c>
      <c r="AE88" s="2" t="str">
        <f t="shared" ca="1" si="10"/>
        <v>Scheduled</v>
      </c>
    </row>
    <row r="89" spans="1:31" x14ac:dyDescent="0.3">
      <c r="A89" t="s">
        <v>230</v>
      </c>
      <c r="B89" t="s">
        <v>231</v>
      </c>
      <c r="C89" t="s">
        <v>32</v>
      </c>
      <c r="D89">
        <v>30</v>
      </c>
      <c r="E89" t="str" cm="1">
        <f t="array" aca="1" ref="E89" ca="1">_xlfn.IFS(
H89="Cardiology",CHOOSE(RANDBETWEEN(1,6),"Hypertension","Arrhythmia","Angina","Heart Failure","Chest Pain","Coronary Artery Disease"),
H89="General Medicine",CHOOSE(RANDBETWEEN(1,6),"Viral Fever","Influenza","Diabetes","Gastritis","Typhoid","Food Poisoning"),
H89="Orthopedics",CHOOSE(RANDBETWEEN(1,6),"Fracture","Arthritis","Back Pain","Joint Pain","Knee Injury","Shoulder Dislocation"),
H89="Neurology",CHOOSE(RANDBETWEEN(1,6),"Migraine","Stroke","Epilepsy","Vertigo","Parkinson's Disease","Peripheral Neuropathy"),
H89="Pediatrics",CHOOSE(RANDBETWEEN(1,6),"Common Cold","Asthma","Pneumonia","Ear Infection","Viral Fever","Stomach Infection"),
H89="Dermatology",CHOOSE(RANDBETWEEN(1,6),"Acne","Eczema","Psoriasis","Fungal Infection","Heat Rash","Contact Dermatitis"),
H89="ENT",CHOOSE(RANDBETWEEN(1,6),"Sinusitis","Tonsillitis","Ear Infection","Throat Infection","Allergic Rhinitis","Otitis Media"),
H89="Gynecology",CHOOSE(RANDBETWEEN(1,6),"PCOS","UTI","Pregnancy Checkup","Menstrual Disorder","Ovarian Cyst","Endometriosis")
)</f>
        <v>Contact Dermatitis</v>
      </c>
      <c r="F89" t="str" cm="1">
        <f t="array" ref="F89">_xlfn.SWITCH(K89,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89" t="s">
        <v>23</v>
      </c>
      <c r="H89" t="s">
        <v>58</v>
      </c>
      <c r="I89" t="s">
        <v>59</v>
      </c>
      <c r="J89" s="1">
        <v>45798</v>
      </c>
      <c r="K89" t="str">
        <f t="shared" si="11"/>
        <v>May</v>
      </c>
      <c r="L89">
        <f t="shared" si="8"/>
        <v>5</v>
      </c>
      <c r="M89" t="s">
        <v>26</v>
      </c>
      <c r="N89" t="s">
        <v>27</v>
      </c>
      <c r="O89">
        <v>900</v>
      </c>
      <c r="P89">
        <v>600</v>
      </c>
      <c r="Q89">
        <v>500</v>
      </c>
      <c r="R89">
        <v>0</v>
      </c>
      <c r="S89" t="s">
        <v>28</v>
      </c>
      <c r="T89" t="s">
        <v>44</v>
      </c>
      <c r="U89">
        <v>2000</v>
      </c>
      <c r="V89">
        <v>0</v>
      </c>
      <c r="W89">
        <v>4.7</v>
      </c>
      <c r="X89" t="s">
        <v>446</v>
      </c>
      <c r="Y89" t="s">
        <v>647</v>
      </c>
      <c r="Z89" s="1">
        <v>45798</v>
      </c>
      <c r="AA89" s="1">
        <f>Table1[[#This Row],[Admission_Date]]+Table1[[#This Row],[Length_of_Stay]]</f>
        <v>45798</v>
      </c>
      <c r="AB89" t="str">
        <f t="shared" ca="1" si="9"/>
        <v>N/A</v>
      </c>
      <c r="AC89" t="str">
        <f ca="1">IF(AB89="General Ward","GW"&amp;TEXT(COUNTIF($AB$2:AB89,"General Ward"),"000"),IF(AB89="Semi Private","SP"&amp;TEXT(COUNTIF($AB$2:AB89,"Semi Private"),"000"),IF(AB89="Private Room","PR"&amp;TEXT(COUNTIF($AB$2:AB89,"Private Room"),"000"),IF(AB89="ICU","ICU"&amp;TEXT(COUNTIF($AB$2:AB89,"ICU"),"000"),"N/A"))))</f>
        <v>N/A</v>
      </c>
      <c r="AD89" t="str">
        <f t="shared" ca="1" si="12"/>
        <v>Not Admitted</v>
      </c>
      <c r="AE89" s="2" t="str">
        <f t="shared" ca="1" si="10"/>
        <v>N/A</v>
      </c>
    </row>
    <row r="90" spans="1:31" x14ac:dyDescent="0.3">
      <c r="A90" t="s">
        <v>232</v>
      </c>
      <c r="B90" t="s">
        <v>86</v>
      </c>
      <c r="C90" t="s">
        <v>22</v>
      </c>
      <c r="D90">
        <v>47</v>
      </c>
      <c r="E90" t="str" cm="1">
        <f t="array" aca="1" ref="E90" ca="1">_xlfn.IFS(
H90="Cardiology",CHOOSE(RANDBETWEEN(1,6),"Hypertension","Arrhythmia","Angina","Heart Failure","Chest Pain","Coronary Artery Disease"),
H90="General Medicine",CHOOSE(RANDBETWEEN(1,6),"Viral Fever","Influenza","Diabetes","Gastritis","Typhoid","Food Poisoning"),
H90="Orthopedics",CHOOSE(RANDBETWEEN(1,6),"Fracture","Arthritis","Back Pain","Joint Pain","Knee Injury","Shoulder Dislocation"),
H90="Neurology",CHOOSE(RANDBETWEEN(1,6),"Migraine","Stroke","Epilepsy","Vertigo","Parkinson's Disease","Peripheral Neuropathy"),
H90="Pediatrics",CHOOSE(RANDBETWEEN(1,6),"Common Cold","Asthma","Pneumonia","Ear Infection","Viral Fever","Stomach Infection"),
H90="Dermatology",CHOOSE(RANDBETWEEN(1,6),"Acne","Eczema","Psoriasis","Fungal Infection","Heat Rash","Contact Dermatitis"),
H90="ENT",CHOOSE(RANDBETWEEN(1,6),"Sinusitis","Tonsillitis","Ear Infection","Throat Infection","Allergic Rhinitis","Otitis Media"),
H90="Gynecology",CHOOSE(RANDBETWEEN(1,6),"PCOS","UTI","Pregnancy Checkup","Menstrual Disorder","Ovarian Cyst","Endometriosis")
)</f>
        <v>Migraine</v>
      </c>
      <c r="F90" t="str" cm="1">
        <f t="array" ref="F90">_xlfn.SWITCH(K90,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90" t="s">
        <v>47</v>
      </c>
      <c r="H90" t="s">
        <v>54</v>
      </c>
      <c r="I90" t="s">
        <v>160</v>
      </c>
      <c r="J90" s="1">
        <v>45799</v>
      </c>
      <c r="K90" t="str">
        <f t="shared" si="11"/>
        <v>May</v>
      </c>
      <c r="L90">
        <f t="shared" si="8"/>
        <v>5</v>
      </c>
      <c r="M90" t="s">
        <v>26</v>
      </c>
      <c r="N90" t="s">
        <v>36</v>
      </c>
      <c r="O90">
        <v>2200</v>
      </c>
      <c r="P90">
        <v>9000</v>
      </c>
      <c r="Q90">
        <v>4500</v>
      </c>
      <c r="R90">
        <v>25000</v>
      </c>
      <c r="S90" t="s">
        <v>37</v>
      </c>
      <c r="T90" t="s">
        <v>15</v>
      </c>
      <c r="U90">
        <v>40700</v>
      </c>
      <c r="V90">
        <v>6</v>
      </c>
      <c r="W90">
        <v>4.9000000000000004</v>
      </c>
      <c r="X90" t="s">
        <v>447</v>
      </c>
      <c r="Y90" t="s">
        <v>648</v>
      </c>
      <c r="Z90" s="1">
        <v>45799</v>
      </c>
      <c r="AA90" s="1">
        <f>Table1[[#This Row],[Admission_Date]]+Table1[[#This Row],[Length_of_Stay]]</f>
        <v>45805</v>
      </c>
      <c r="AB90" t="str">
        <f t="shared" ca="1" si="9"/>
        <v>Semi Private</v>
      </c>
      <c r="AC90" t="str">
        <f ca="1">IF(AB90="General Ward","GW"&amp;TEXT(COUNTIF($AB$2:AB90,"General Ward"),"000"),IF(AB90="Semi Private","SP"&amp;TEXT(COUNTIF($AB$2:AB90,"Semi Private"),"000"),IF(AB90="Private Room","PR"&amp;TEXT(COUNTIF($AB$2:AB90,"Private Room"),"000"),IF(AB90="ICU","ICU"&amp;TEXT(COUNTIF($AB$2:AB90,"ICU"),"000"),"N/A"))))</f>
        <v>SP012</v>
      </c>
      <c r="AD90" t="str">
        <f t="shared" ca="1" si="12"/>
        <v>Occupied</v>
      </c>
      <c r="AE90" s="2" t="str">
        <f t="shared" ca="1" si="10"/>
        <v>Referral</v>
      </c>
    </row>
    <row r="91" spans="1:31" x14ac:dyDescent="0.3">
      <c r="A91" t="s">
        <v>233</v>
      </c>
      <c r="B91" t="s">
        <v>164</v>
      </c>
      <c r="C91" t="s">
        <v>32</v>
      </c>
      <c r="D91">
        <v>34</v>
      </c>
      <c r="E91" t="str" cm="1">
        <f t="array" aca="1" ref="E91" ca="1">_xlfn.IFS(
H91="Cardiology",CHOOSE(RANDBETWEEN(1,6),"Hypertension","Arrhythmia","Angina","Heart Failure","Chest Pain","Coronary Artery Disease"),
H91="General Medicine",CHOOSE(RANDBETWEEN(1,6),"Viral Fever","Influenza","Diabetes","Gastritis","Typhoid","Food Poisoning"),
H91="Orthopedics",CHOOSE(RANDBETWEEN(1,6),"Fracture","Arthritis","Back Pain","Joint Pain","Knee Injury","Shoulder Dislocation"),
H91="Neurology",CHOOSE(RANDBETWEEN(1,6),"Migraine","Stroke","Epilepsy","Vertigo","Parkinson's Disease","Peripheral Neuropathy"),
H91="Pediatrics",CHOOSE(RANDBETWEEN(1,6),"Common Cold","Asthma","Pneumonia","Ear Infection","Viral Fever","Stomach Infection"),
H91="Dermatology",CHOOSE(RANDBETWEEN(1,6),"Acne","Eczema","Psoriasis","Fungal Infection","Heat Rash","Contact Dermatitis"),
H91="ENT",CHOOSE(RANDBETWEEN(1,6),"Sinusitis","Tonsillitis","Ear Infection","Throat Infection","Allergic Rhinitis","Otitis Media"),
H91="Gynecology",CHOOSE(RANDBETWEEN(1,6),"PCOS","UTI","Pregnancy Checkup","Menstrual Disorder","Ovarian Cyst","Endometriosis")
)</f>
        <v>UTI</v>
      </c>
      <c r="F91" t="str" cm="1">
        <f t="array" ref="F91">_xlfn.SWITCH(K91,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91" t="s">
        <v>40</v>
      </c>
      <c r="H91" t="s">
        <v>34</v>
      </c>
      <c r="I91" t="s">
        <v>96</v>
      </c>
      <c r="J91" s="1">
        <v>45800</v>
      </c>
      <c r="K91" t="str">
        <f t="shared" si="11"/>
        <v>May</v>
      </c>
      <c r="L91">
        <f t="shared" si="8"/>
        <v>5</v>
      </c>
      <c r="M91" t="s">
        <v>26</v>
      </c>
      <c r="N91" t="s">
        <v>27</v>
      </c>
      <c r="O91">
        <v>1300</v>
      </c>
      <c r="P91">
        <v>1000</v>
      </c>
      <c r="Q91">
        <v>900</v>
      </c>
      <c r="R91">
        <v>0</v>
      </c>
      <c r="S91" t="s">
        <v>28</v>
      </c>
      <c r="T91" t="s">
        <v>29</v>
      </c>
      <c r="U91">
        <v>3200</v>
      </c>
      <c r="V91">
        <v>0</v>
      </c>
      <c r="W91">
        <v>4.8</v>
      </c>
      <c r="X91" t="s">
        <v>448</v>
      </c>
      <c r="Y91" t="s">
        <v>649</v>
      </c>
      <c r="Z91" s="1">
        <v>45800</v>
      </c>
      <c r="AA91" s="1">
        <f>Table1[[#This Row],[Admission_Date]]+Table1[[#This Row],[Length_of_Stay]]</f>
        <v>45800</v>
      </c>
      <c r="AB91" t="str">
        <f t="shared" ca="1" si="9"/>
        <v>N/A</v>
      </c>
      <c r="AC91" t="str">
        <f ca="1">IF(AB91="General Ward","GW"&amp;TEXT(COUNTIF($AB$2:AB91,"General Ward"),"000"),IF(AB91="Semi Private","SP"&amp;TEXT(COUNTIF($AB$2:AB91,"Semi Private"),"000"),IF(AB91="Private Room","PR"&amp;TEXT(COUNTIF($AB$2:AB91,"Private Room"),"000"),IF(AB91="ICU","ICU"&amp;TEXT(COUNTIF($AB$2:AB91,"ICU"),"000"),"N/A"))))</f>
        <v>N/A</v>
      </c>
      <c r="AD91" t="str">
        <f t="shared" ca="1" si="12"/>
        <v>Not Admitted</v>
      </c>
      <c r="AE91" s="2" t="str">
        <f t="shared" ca="1" si="10"/>
        <v>N/A</v>
      </c>
    </row>
    <row r="92" spans="1:31" x14ac:dyDescent="0.3">
      <c r="A92" t="s">
        <v>234</v>
      </c>
      <c r="B92" t="s">
        <v>235</v>
      </c>
      <c r="C92" t="s">
        <v>22</v>
      </c>
      <c r="D92">
        <v>26</v>
      </c>
      <c r="E92" t="str" cm="1">
        <f t="array" aca="1" ref="E92" ca="1">_xlfn.IFS(
H92="Cardiology",CHOOSE(RANDBETWEEN(1,6),"Hypertension","Arrhythmia","Angina","Heart Failure","Chest Pain","Coronary Artery Disease"),
H92="General Medicine",CHOOSE(RANDBETWEEN(1,6),"Viral Fever","Influenza","Diabetes","Gastritis","Typhoid","Food Poisoning"),
H92="Orthopedics",CHOOSE(RANDBETWEEN(1,6),"Fracture","Arthritis","Back Pain","Joint Pain","Knee Injury","Shoulder Dislocation"),
H92="Neurology",CHOOSE(RANDBETWEEN(1,6),"Migraine","Stroke","Epilepsy","Vertigo","Parkinson's Disease","Peripheral Neuropathy"),
H92="Pediatrics",CHOOSE(RANDBETWEEN(1,6),"Common Cold","Asthma","Pneumonia","Ear Infection","Viral Fever","Stomach Infection"),
H92="Dermatology",CHOOSE(RANDBETWEEN(1,6),"Acne","Eczema","Psoriasis","Fungal Infection","Heat Rash","Contact Dermatitis"),
H92="ENT",CHOOSE(RANDBETWEEN(1,6),"Sinusitis","Tonsillitis","Ear Infection","Throat Infection","Allergic Rhinitis","Otitis Media"),
H92="Gynecology",CHOOSE(RANDBETWEEN(1,6),"PCOS","UTI","Pregnancy Checkup","Menstrual Disorder","Ovarian Cyst","Endometriosis")
)</f>
        <v>Otitis Media</v>
      </c>
      <c r="F92" t="str" cm="1">
        <f t="array" ref="F92">_xlfn.SWITCH(K92,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92" t="s">
        <v>33</v>
      </c>
      <c r="H92" t="s">
        <v>64</v>
      </c>
      <c r="I92" t="s">
        <v>65</v>
      </c>
      <c r="J92" s="1">
        <v>45801</v>
      </c>
      <c r="K92" t="str">
        <f t="shared" si="11"/>
        <v>May</v>
      </c>
      <c r="L92">
        <f t="shared" si="8"/>
        <v>5</v>
      </c>
      <c r="M92" t="s">
        <v>26</v>
      </c>
      <c r="N92" t="s">
        <v>27</v>
      </c>
      <c r="O92">
        <v>1000</v>
      </c>
      <c r="P92">
        <v>700</v>
      </c>
      <c r="Q92">
        <v>600</v>
      </c>
      <c r="R92">
        <v>0</v>
      </c>
      <c r="S92" t="s">
        <v>28</v>
      </c>
      <c r="T92" t="s">
        <v>50</v>
      </c>
      <c r="U92">
        <v>2300</v>
      </c>
      <c r="V92">
        <v>0</v>
      </c>
      <c r="W92">
        <v>4.5</v>
      </c>
      <c r="X92" t="s">
        <v>449</v>
      </c>
      <c r="Y92" t="s">
        <v>650</v>
      </c>
      <c r="Z92" s="1">
        <v>45801</v>
      </c>
      <c r="AA92" s="1">
        <f>Table1[[#This Row],[Admission_Date]]+Table1[[#This Row],[Length_of_Stay]]</f>
        <v>45801</v>
      </c>
      <c r="AB92" t="str">
        <f t="shared" ca="1" si="9"/>
        <v>N/A</v>
      </c>
      <c r="AC92" t="str">
        <f ca="1">IF(AB92="General Ward","GW"&amp;TEXT(COUNTIF($AB$2:AB92,"General Ward"),"000"),IF(AB92="Semi Private","SP"&amp;TEXT(COUNTIF($AB$2:AB92,"Semi Private"),"000"),IF(AB92="Private Room","PR"&amp;TEXT(COUNTIF($AB$2:AB92,"Private Room"),"000"),IF(AB92="ICU","ICU"&amp;TEXT(COUNTIF($AB$2:AB92,"ICU"),"000"),"N/A"))))</f>
        <v>N/A</v>
      </c>
      <c r="AD92" t="str">
        <f t="shared" ca="1" si="12"/>
        <v>Not Admitted</v>
      </c>
      <c r="AE92" s="2" t="str">
        <f t="shared" ca="1" si="10"/>
        <v>N/A</v>
      </c>
    </row>
    <row r="93" spans="1:31" x14ac:dyDescent="0.3">
      <c r="A93" t="s">
        <v>236</v>
      </c>
      <c r="B93" t="s">
        <v>180</v>
      </c>
      <c r="C93" t="s">
        <v>32</v>
      </c>
      <c r="D93">
        <v>52</v>
      </c>
      <c r="E93" t="str" cm="1">
        <f t="array" aca="1" ref="E93" ca="1">_xlfn.IFS(
H93="Cardiology",CHOOSE(RANDBETWEEN(1,6),"Hypertension","Arrhythmia","Angina","Heart Failure","Chest Pain","Coronary Artery Disease"),
H93="General Medicine",CHOOSE(RANDBETWEEN(1,6),"Viral Fever","Influenza","Diabetes","Gastritis","Typhoid","Food Poisoning"),
H93="Orthopedics",CHOOSE(RANDBETWEEN(1,6),"Fracture","Arthritis","Back Pain","Joint Pain","Knee Injury","Shoulder Dislocation"),
H93="Neurology",CHOOSE(RANDBETWEEN(1,6),"Migraine","Stroke","Epilepsy","Vertigo","Parkinson's Disease","Peripheral Neuropathy"),
H93="Pediatrics",CHOOSE(RANDBETWEEN(1,6),"Common Cold","Asthma","Pneumonia","Ear Infection","Viral Fever","Stomach Infection"),
H93="Dermatology",CHOOSE(RANDBETWEEN(1,6),"Acne","Eczema","Psoriasis","Fungal Infection","Heat Rash","Contact Dermatitis"),
H93="ENT",CHOOSE(RANDBETWEEN(1,6),"Sinusitis","Tonsillitis","Ear Infection","Throat Infection","Allergic Rhinitis","Otitis Media"),
H93="Gynecology",CHOOSE(RANDBETWEEN(1,6),"PCOS","UTI","Pregnancy Checkup","Menstrual Disorder","Ovarian Cyst","Endometriosis")
)</f>
        <v>Heart Failure</v>
      </c>
      <c r="F93" t="str" cm="1">
        <f t="array" ref="F93">_xlfn.SWITCH(K93,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93" t="s">
        <v>53</v>
      </c>
      <c r="H93" t="s">
        <v>24</v>
      </c>
      <c r="I93" t="s">
        <v>69</v>
      </c>
      <c r="J93" s="1">
        <v>45802</v>
      </c>
      <c r="K93" t="str">
        <f t="shared" si="11"/>
        <v>May</v>
      </c>
      <c r="L93">
        <f t="shared" si="8"/>
        <v>5</v>
      </c>
      <c r="M93" t="s">
        <v>26</v>
      </c>
      <c r="N93" t="s">
        <v>36</v>
      </c>
      <c r="O93">
        <v>1900</v>
      </c>
      <c r="P93">
        <v>7000</v>
      </c>
      <c r="Q93">
        <v>3800</v>
      </c>
      <c r="R93">
        <v>23000</v>
      </c>
      <c r="S93" t="s">
        <v>37</v>
      </c>
      <c r="T93" t="s">
        <v>15</v>
      </c>
      <c r="U93">
        <v>35700</v>
      </c>
      <c r="V93">
        <v>5</v>
      </c>
      <c r="W93">
        <v>4.9000000000000004</v>
      </c>
      <c r="X93" t="s">
        <v>450</v>
      </c>
      <c r="Y93" t="s">
        <v>651</v>
      </c>
      <c r="Z93" s="1">
        <v>45802</v>
      </c>
      <c r="AA93" s="1">
        <f>Table1[[#This Row],[Admission_Date]]+Table1[[#This Row],[Length_of_Stay]]</f>
        <v>45807</v>
      </c>
      <c r="AB93" t="str">
        <f t="shared" ca="1" si="9"/>
        <v>Private Room</v>
      </c>
      <c r="AC93" t="str">
        <f ca="1">IF(AB93="General Ward","GW"&amp;TEXT(COUNTIF($AB$2:AB93,"General Ward"),"000"),IF(AB93="Semi Private","SP"&amp;TEXT(COUNTIF($AB$2:AB93,"Semi Private"),"000"),IF(AB93="Private Room","PR"&amp;TEXT(COUNTIF($AB$2:AB93,"Private Room"),"000"),IF(AB93="ICU","ICU"&amp;TEXT(COUNTIF($AB$2:AB93,"ICU"),"000"),"N/A"))))</f>
        <v>PR010</v>
      </c>
      <c r="AD93" t="str">
        <f t="shared" ca="1" si="12"/>
        <v>Occupied</v>
      </c>
      <c r="AE93" s="2" t="str">
        <f t="shared" ca="1" si="10"/>
        <v>Scheduled</v>
      </c>
    </row>
    <row r="94" spans="1:31" x14ac:dyDescent="0.3">
      <c r="A94" t="s">
        <v>237</v>
      </c>
      <c r="B94" t="s">
        <v>132</v>
      </c>
      <c r="C94" t="s">
        <v>22</v>
      </c>
      <c r="D94">
        <v>39</v>
      </c>
      <c r="E94" t="str" cm="1">
        <f t="array" aca="1" ref="E94" ca="1">_xlfn.IFS(
H94="Cardiology",CHOOSE(RANDBETWEEN(1,6),"Hypertension","Arrhythmia","Angina","Heart Failure","Chest Pain","Coronary Artery Disease"),
H94="General Medicine",CHOOSE(RANDBETWEEN(1,6),"Viral Fever","Influenza","Diabetes","Gastritis","Typhoid","Food Poisoning"),
H94="Orthopedics",CHOOSE(RANDBETWEEN(1,6),"Fracture","Arthritis","Back Pain","Joint Pain","Knee Injury","Shoulder Dislocation"),
H94="Neurology",CHOOSE(RANDBETWEEN(1,6),"Migraine","Stroke","Epilepsy","Vertigo","Parkinson's Disease","Peripheral Neuropathy"),
H94="Pediatrics",CHOOSE(RANDBETWEEN(1,6),"Common Cold","Asthma","Pneumonia","Ear Infection","Viral Fever","Stomach Infection"),
H94="Dermatology",CHOOSE(RANDBETWEEN(1,6),"Acne","Eczema","Psoriasis","Fungal Infection","Heat Rash","Contact Dermatitis"),
H94="ENT",CHOOSE(RANDBETWEEN(1,6),"Sinusitis","Tonsillitis","Ear Infection","Throat Infection","Allergic Rhinitis","Otitis Media"),
H94="Gynecology",CHOOSE(RANDBETWEEN(1,6),"PCOS","UTI","Pregnancy Checkup","Menstrual Disorder","Ovarian Cyst","Endometriosis")
)</f>
        <v>Typhoid</v>
      </c>
      <c r="F94" t="str" cm="1">
        <f t="array" ref="F94">_xlfn.SWITCH(K94,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94" t="s">
        <v>68</v>
      </c>
      <c r="H94" t="s">
        <v>73</v>
      </c>
      <c r="I94" t="s">
        <v>90</v>
      </c>
      <c r="J94" s="1">
        <v>45803</v>
      </c>
      <c r="K94" t="str">
        <f t="shared" si="11"/>
        <v>May</v>
      </c>
      <c r="L94">
        <f t="shared" si="8"/>
        <v>5</v>
      </c>
      <c r="M94" t="s">
        <v>26</v>
      </c>
      <c r="N94" t="s">
        <v>27</v>
      </c>
      <c r="O94">
        <v>800</v>
      </c>
      <c r="P94">
        <v>1100</v>
      </c>
      <c r="Q94">
        <v>800</v>
      </c>
      <c r="R94">
        <v>0</v>
      </c>
      <c r="S94" t="s">
        <v>28</v>
      </c>
      <c r="T94" t="s">
        <v>44</v>
      </c>
      <c r="U94">
        <v>2700</v>
      </c>
      <c r="V94">
        <v>0</v>
      </c>
      <c r="W94">
        <v>4.5999999999999996</v>
      </c>
      <c r="X94" t="s">
        <v>451</v>
      </c>
      <c r="Y94" t="s">
        <v>652</v>
      </c>
      <c r="Z94" s="1">
        <v>45803</v>
      </c>
      <c r="AA94" s="1">
        <f>Table1[[#This Row],[Admission_Date]]+Table1[[#This Row],[Length_of_Stay]]</f>
        <v>45803</v>
      </c>
      <c r="AB94" t="str">
        <f t="shared" ca="1" si="9"/>
        <v>N/A</v>
      </c>
      <c r="AC94" t="str">
        <f ca="1">IF(AB94="General Ward","GW"&amp;TEXT(COUNTIF($AB$2:AB94,"General Ward"),"000"),IF(AB94="Semi Private","SP"&amp;TEXT(COUNTIF($AB$2:AB94,"Semi Private"),"000"),IF(AB94="Private Room","PR"&amp;TEXT(COUNTIF($AB$2:AB94,"Private Room"),"000"),IF(AB94="ICU","ICU"&amp;TEXT(COUNTIF($AB$2:AB94,"ICU"),"000"),"N/A"))))</f>
        <v>N/A</v>
      </c>
      <c r="AD94" t="str">
        <f t="shared" ca="1" si="12"/>
        <v>Not Admitted</v>
      </c>
      <c r="AE94" s="2" t="str">
        <f t="shared" ca="1" si="10"/>
        <v>N/A</v>
      </c>
    </row>
    <row r="95" spans="1:31" x14ac:dyDescent="0.3">
      <c r="A95" t="s">
        <v>238</v>
      </c>
      <c r="B95" t="s">
        <v>118</v>
      </c>
      <c r="C95" t="s">
        <v>32</v>
      </c>
      <c r="D95">
        <v>23</v>
      </c>
      <c r="E95" t="str" cm="1">
        <f t="array" aca="1" ref="E95" ca="1">_xlfn.IFS(
H95="Cardiology",CHOOSE(RANDBETWEEN(1,6),"Hypertension","Arrhythmia","Angina","Heart Failure","Chest Pain","Coronary Artery Disease"),
H95="General Medicine",CHOOSE(RANDBETWEEN(1,6),"Viral Fever","Influenza","Diabetes","Gastritis","Typhoid","Food Poisoning"),
H95="Orthopedics",CHOOSE(RANDBETWEEN(1,6),"Fracture","Arthritis","Back Pain","Joint Pain","Knee Injury","Shoulder Dislocation"),
H95="Neurology",CHOOSE(RANDBETWEEN(1,6),"Migraine","Stroke","Epilepsy","Vertigo","Parkinson's Disease","Peripheral Neuropathy"),
H95="Pediatrics",CHOOSE(RANDBETWEEN(1,6),"Common Cold","Asthma","Pneumonia","Ear Infection","Viral Fever","Stomach Infection"),
H95="Dermatology",CHOOSE(RANDBETWEEN(1,6),"Acne","Eczema","Psoriasis","Fungal Infection","Heat Rash","Contact Dermatitis"),
H95="ENT",CHOOSE(RANDBETWEEN(1,6),"Sinusitis","Tonsillitis","Ear Infection","Throat Infection","Allergic Rhinitis","Otitis Media"),
H95="Gynecology",CHOOSE(RANDBETWEEN(1,6),"PCOS","UTI","Pregnancy Checkup","Menstrual Disorder","Ovarian Cyst","Endometriosis")
)</f>
        <v>Stomach Infection</v>
      </c>
      <c r="F95" t="str" cm="1">
        <f t="array" ref="F95">_xlfn.SWITCH(K95,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95" t="s">
        <v>72</v>
      </c>
      <c r="H95" t="s">
        <v>48</v>
      </c>
      <c r="I95" t="s">
        <v>156</v>
      </c>
      <c r="J95" s="1">
        <v>45804</v>
      </c>
      <c r="K95" t="str">
        <f t="shared" si="11"/>
        <v>May</v>
      </c>
      <c r="L95">
        <f t="shared" si="8"/>
        <v>5</v>
      </c>
      <c r="M95" t="s">
        <v>26</v>
      </c>
      <c r="N95" t="s">
        <v>27</v>
      </c>
      <c r="O95">
        <v>700</v>
      </c>
      <c r="P95">
        <v>500</v>
      </c>
      <c r="Q95">
        <v>400</v>
      </c>
      <c r="R95">
        <v>0</v>
      </c>
      <c r="S95" t="s">
        <v>28</v>
      </c>
      <c r="T95" t="s">
        <v>29</v>
      </c>
      <c r="U95">
        <v>1600</v>
      </c>
      <c r="V95">
        <v>0</v>
      </c>
      <c r="W95">
        <v>4.8</v>
      </c>
      <c r="X95" t="s">
        <v>452</v>
      </c>
      <c r="Y95" t="s">
        <v>653</v>
      </c>
      <c r="Z95" s="1">
        <v>45804</v>
      </c>
      <c r="AA95" s="1">
        <f>Table1[[#This Row],[Admission_Date]]+Table1[[#This Row],[Length_of_Stay]]</f>
        <v>45804</v>
      </c>
      <c r="AB95" t="str">
        <f t="shared" ca="1" si="9"/>
        <v>N/A</v>
      </c>
      <c r="AC95" t="str">
        <f ca="1">IF(AB95="General Ward","GW"&amp;TEXT(COUNTIF($AB$2:AB95,"General Ward"),"000"),IF(AB95="Semi Private","SP"&amp;TEXT(COUNTIF($AB$2:AB95,"Semi Private"),"000"),IF(AB95="Private Room","PR"&amp;TEXT(COUNTIF($AB$2:AB95,"Private Room"),"000"),IF(AB95="ICU","ICU"&amp;TEXT(COUNTIF($AB$2:AB95,"ICU"),"000"),"N/A"))))</f>
        <v>N/A</v>
      </c>
      <c r="AD95" t="str">
        <f t="shared" ca="1" si="12"/>
        <v>Not Admitted</v>
      </c>
      <c r="AE95" s="2" t="str">
        <f t="shared" ca="1" si="10"/>
        <v>N/A</v>
      </c>
    </row>
    <row r="96" spans="1:31" x14ac:dyDescent="0.3">
      <c r="A96" t="s">
        <v>239</v>
      </c>
      <c r="B96" t="s">
        <v>182</v>
      </c>
      <c r="C96" t="s">
        <v>22</v>
      </c>
      <c r="D96">
        <v>60</v>
      </c>
      <c r="E96" t="str" cm="1">
        <f t="array" aca="1" ref="E96" ca="1">_xlfn.IFS(
H96="Cardiology",CHOOSE(RANDBETWEEN(1,6),"Hypertension","Arrhythmia","Angina","Heart Failure","Chest Pain","Coronary Artery Disease"),
H96="General Medicine",CHOOSE(RANDBETWEEN(1,6),"Viral Fever","Influenza","Diabetes","Gastritis","Typhoid","Food Poisoning"),
H96="Orthopedics",CHOOSE(RANDBETWEEN(1,6),"Fracture","Arthritis","Back Pain","Joint Pain","Knee Injury","Shoulder Dislocation"),
H96="Neurology",CHOOSE(RANDBETWEEN(1,6),"Migraine","Stroke","Epilepsy","Vertigo","Parkinson's Disease","Peripheral Neuropathy"),
H96="Pediatrics",CHOOSE(RANDBETWEEN(1,6),"Common Cold","Asthma","Pneumonia","Ear Infection","Viral Fever","Stomach Infection"),
H96="Dermatology",CHOOSE(RANDBETWEEN(1,6),"Acne","Eczema","Psoriasis","Fungal Infection","Heat Rash","Contact Dermatitis"),
H96="ENT",CHOOSE(RANDBETWEEN(1,6),"Sinusitis","Tonsillitis","Ear Infection","Throat Infection","Allergic Rhinitis","Otitis Media"),
H96="Gynecology",CHOOSE(RANDBETWEEN(1,6),"PCOS","UTI","Pregnancy Checkup","Menstrual Disorder","Ovarian Cyst","Endometriosis")
)</f>
        <v>Joint Pain</v>
      </c>
      <c r="F96" t="str" cm="1">
        <f t="array" ref="F96">_xlfn.SWITCH(K96,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96" t="s">
        <v>63</v>
      </c>
      <c r="H96" t="s">
        <v>41</v>
      </c>
      <c r="I96" t="s">
        <v>102</v>
      </c>
      <c r="J96" s="1">
        <v>45805</v>
      </c>
      <c r="K96" t="str">
        <f t="shared" si="11"/>
        <v>May</v>
      </c>
      <c r="L96">
        <f t="shared" si="8"/>
        <v>5</v>
      </c>
      <c r="M96" t="s">
        <v>26</v>
      </c>
      <c r="N96" t="s">
        <v>36</v>
      </c>
      <c r="O96">
        <v>1800</v>
      </c>
      <c r="P96">
        <v>5800</v>
      </c>
      <c r="Q96">
        <v>3200</v>
      </c>
      <c r="R96">
        <v>18000</v>
      </c>
      <c r="S96" t="s">
        <v>37</v>
      </c>
      <c r="T96" t="s">
        <v>15</v>
      </c>
      <c r="U96">
        <v>28800</v>
      </c>
      <c r="V96">
        <v>4</v>
      </c>
      <c r="W96">
        <v>4.8</v>
      </c>
      <c r="X96" t="s">
        <v>453</v>
      </c>
      <c r="Y96" t="s">
        <v>654</v>
      </c>
      <c r="Z96" s="1">
        <v>45805</v>
      </c>
      <c r="AA96" s="1">
        <f>Table1[[#This Row],[Admission_Date]]+Table1[[#This Row],[Length_of_Stay]]</f>
        <v>45809</v>
      </c>
      <c r="AB96" t="str">
        <f t="shared" ca="1" si="9"/>
        <v>ICU</v>
      </c>
      <c r="AC96" t="str">
        <f ca="1">IF(AB96="General Ward","GW"&amp;TEXT(COUNTIF($AB$2:AB96,"General Ward"),"000"),IF(AB96="Semi Private","SP"&amp;TEXT(COUNTIF($AB$2:AB96,"Semi Private"),"000"),IF(AB96="Private Room","PR"&amp;TEXT(COUNTIF($AB$2:AB96,"Private Room"),"000"),IF(AB96="ICU","ICU"&amp;TEXT(COUNTIF($AB$2:AB96,"ICU"),"000"),"N/A"))))</f>
        <v>ICU004</v>
      </c>
      <c r="AD96" t="str">
        <f t="shared" ca="1" si="12"/>
        <v>Occupied</v>
      </c>
      <c r="AE96" s="2" t="str">
        <f t="shared" ca="1" si="10"/>
        <v>Walk-in</v>
      </c>
    </row>
    <row r="97" spans="1:31" x14ac:dyDescent="0.3">
      <c r="A97" t="s">
        <v>240</v>
      </c>
      <c r="B97" t="s">
        <v>174</v>
      </c>
      <c r="C97" t="s">
        <v>32</v>
      </c>
      <c r="D97">
        <v>29</v>
      </c>
      <c r="E97" t="str" cm="1">
        <f t="array" aca="1" ref="E97" ca="1">_xlfn.IFS(
H97="Cardiology",CHOOSE(RANDBETWEEN(1,6),"Hypertension","Arrhythmia","Angina","Heart Failure","Chest Pain","Coronary Artery Disease"),
H97="General Medicine",CHOOSE(RANDBETWEEN(1,6),"Viral Fever","Influenza","Diabetes","Gastritis","Typhoid","Food Poisoning"),
H97="Orthopedics",CHOOSE(RANDBETWEEN(1,6),"Fracture","Arthritis","Back Pain","Joint Pain","Knee Injury","Shoulder Dislocation"),
H97="Neurology",CHOOSE(RANDBETWEEN(1,6),"Migraine","Stroke","Epilepsy","Vertigo","Parkinson's Disease","Peripheral Neuropathy"),
H97="Pediatrics",CHOOSE(RANDBETWEEN(1,6),"Common Cold","Asthma","Pneumonia","Ear Infection","Viral Fever","Stomach Infection"),
H97="Dermatology",CHOOSE(RANDBETWEEN(1,6),"Acne","Eczema","Psoriasis","Fungal Infection","Heat Rash","Contact Dermatitis"),
H97="ENT",CHOOSE(RANDBETWEEN(1,6),"Sinusitis","Tonsillitis","Ear Infection","Throat Infection","Allergic Rhinitis","Otitis Media"),
H97="Gynecology",CHOOSE(RANDBETWEEN(1,6),"PCOS","UTI","Pregnancy Checkup","Menstrual Disorder","Ovarian Cyst","Endometriosis")
)</f>
        <v>Psoriasis</v>
      </c>
      <c r="F97" t="str" cm="1">
        <f t="array" ref="F97">_xlfn.SWITCH(K97,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97" t="s">
        <v>77</v>
      </c>
      <c r="H97" t="s">
        <v>58</v>
      </c>
      <c r="I97" t="s">
        <v>84</v>
      </c>
      <c r="J97" s="1">
        <v>45806</v>
      </c>
      <c r="K97" t="str">
        <f t="shared" si="11"/>
        <v>May</v>
      </c>
      <c r="L97">
        <f t="shared" si="8"/>
        <v>5</v>
      </c>
      <c r="M97" t="s">
        <v>26</v>
      </c>
      <c r="N97" t="s">
        <v>27</v>
      </c>
      <c r="O97">
        <v>900</v>
      </c>
      <c r="P97">
        <v>700</v>
      </c>
      <c r="Q97">
        <v>500</v>
      </c>
      <c r="R97">
        <v>0</v>
      </c>
      <c r="S97" t="s">
        <v>28</v>
      </c>
      <c r="T97" t="s">
        <v>50</v>
      </c>
      <c r="U97">
        <v>2100</v>
      </c>
      <c r="V97">
        <v>0</v>
      </c>
      <c r="W97">
        <v>4.7</v>
      </c>
      <c r="X97" t="s">
        <v>454</v>
      </c>
      <c r="Y97" t="s">
        <v>655</v>
      </c>
      <c r="Z97" s="1">
        <v>45806</v>
      </c>
      <c r="AA97" s="1">
        <f>Table1[[#This Row],[Admission_Date]]+Table1[[#This Row],[Length_of_Stay]]</f>
        <v>45806</v>
      </c>
      <c r="AB97" t="str">
        <f t="shared" ca="1" si="9"/>
        <v>N/A</v>
      </c>
      <c r="AC97" t="str">
        <f ca="1">IF(AB97="General Ward","GW"&amp;TEXT(COUNTIF($AB$2:AB97,"General Ward"),"000"),IF(AB97="Semi Private","SP"&amp;TEXT(COUNTIF($AB$2:AB97,"Semi Private"),"000"),IF(AB97="Private Room","PR"&amp;TEXT(COUNTIF($AB$2:AB97,"Private Room"),"000"),IF(AB97="ICU","ICU"&amp;TEXT(COUNTIF($AB$2:AB97,"ICU"),"000"),"N/A"))))</f>
        <v>N/A</v>
      </c>
      <c r="AD97" t="str">
        <f t="shared" ca="1" si="12"/>
        <v>Not Admitted</v>
      </c>
      <c r="AE97" s="2" t="str">
        <f t="shared" ca="1" si="10"/>
        <v>N/A</v>
      </c>
    </row>
    <row r="98" spans="1:31" x14ac:dyDescent="0.3">
      <c r="A98" t="s">
        <v>241</v>
      </c>
      <c r="B98" t="s">
        <v>242</v>
      </c>
      <c r="C98" t="s">
        <v>22</v>
      </c>
      <c r="D98">
        <v>44</v>
      </c>
      <c r="E98" t="str" cm="1">
        <f t="array" aca="1" ref="E98" ca="1">_xlfn.IFS(
H98="Cardiology",CHOOSE(RANDBETWEEN(1,6),"Hypertension","Arrhythmia","Angina","Heart Failure","Chest Pain","Coronary Artery Disease"),
H98="General Medicine",CHOOSE(RANDBETWEEN(1,6),"Viral Fever","Influenza","Diabetes","Gastritis","Typhoid","Food Poisoning"),
H98="Orthopedics",CHOOSE(RANDBETWEEN(1,6),"Fracture","Arthritis","Back Pain","Joint Pain","Knee Injury","Shoulder Dislocation"),
H98="Neurology",CHOOSE(RANDBETWEEN(1,6),"Migraine","Stroke","Epilepsy","Vertigo","Parkinson's Disease","Peripheral Neuropathy"),
H98="Pediatrics",CHOOSE(RANDBETWEEN(1,6),"Common Cold","Asthma","Pneumonia","Ear Infection","Viral Fever","Stomach Infection"),
H98="Dermatology",CHOOSE(RANDBETWEEN(1,6),"Acne","Eczema","Psoriasis","Fungal Infection","Heat Rash","Contact Dermatitis"),
H98="ENT",CHOOSE(RANDBETWEEN(1,6),"Sinusitis","Tonsillitis","Ear Infection","Throat Infection","Allergic Rhinitis","Otitis Media"),
H98="Gynecology",CHOOSE(RANDBETWEEN(1,6),"PCOS","UTI","Pregnancy Checkup","Menstrual Disorder","Ovarian Cyst","Endometriosis")
)</f>
        <v>Tonsillitis</v>
      </c>
      <c r="F98" t="str" cm="1">
        <f t="array" ref="F98">_xlfn.SWITCH(K98,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98" t="s">
        <v>23</v>
      </c>
      <c r="H98" t="s">
        <v>64</v>
      </c>
      <c r="I98" t="s">
        <v>99</v>
      </c>
      <c r="J98" s="1">
        <v>45807</v>
      </c>
      <c r="K98" t="str">
        <f t="shared" si="11"/>
        <v>May</v>
      </c>
      <c r="L98">
        <f t="shared" ref="L98:L129" si="13">MONTH(J98)</f>
        <v>5</v>
      </c>
      <c r="M98" t="s">
        <v>26</v>
      </c>
      <c r="N98" t="s">
        <v>27</v>
      </c>
      <c r="O98">
        <v>1000</v>
      </c>
      <c r="P98">
        <v>900</v>
      </c>
      <c r="Q98">
        <v>700</v>
      </c>
      <c r="R98">
        <v>0</v>
      </c>
      <c r="S98" t="s">
        <v>28</v>
      </c>
      <c r="T98" t="s">
        <v>44</v>
      </c>
      <c r="U98">
        <v>2600</v>
      </c>
      <c r="V98">
        <v>0</v>
      </c>
      <c r="W98">
        <v>4.5999999999999996</v>
      </c>
      <c r="X98" t="s">
        <v>455</v>
      </c>
      <c r="Y98" t="s">
        <v>656</v>
      </c>
      <c r="Z98" s="1">
        <v>45807</v>
      </c>
      <c r="AA98" s="1">
        <f>Table1[[#This Row],[Admission_Date]]+Table1[[#This Row],[Length_of_Stay]]</f>
        <v>45807</v>
      </c>
      <c r="AB98" t="str">
        <f t="shared" ref="AB98:AB129" ca="1" si="14">IF(N98="OP","N/A",CHOOSE(RANDBETWEEN(1,4),"General Ward","Semi Private","Private Room","ICU"))</f>
        <v>N/A</v>
      </c>
      <c r="AC98" t="str">
        <f ca="1">IF(AB98="General Ward","GW"&amp;TEXT(COUNTIF($AB$2:AB98,"General Ward"),"000"),IF(AB98="Semi Private","SP"&amp;TEXT(COUNTIF($AB$2:AB98,"Semi Private"),"000"),IF(AB98="Private Room","PR"&amp;TEXT(COUNTIF($AB$2:AB98,"Private Room"),"000"),IF(AB98="ICU","ICU"&amp;TEXT(COUNTIF($AB$2:AB98,"ICU"),"000"),"N/A"))))</f>
        <v>N/A</v>
      </c>
      <c r="AD98" t="str">
        <f t="shared" ca="1" si="12"/>
        <v>Not Admitted</v>
      </c>
      <c r="AE98" s="2" t="str">
        <f t="shared" ref="AE98:AE129" ca="1" si="15">IF(AB98="N/A","N/A",
IF(RAND()&lt;0.2,"Emergency",
IF(RAND()&lt;0.5,"Scheduled",
IF(RAND()&lt;0.8,"Walk-in","Referral"))))</f>
        <v>N/A</v>
      </c>
    </row>
    <row r="99" spans="1:31" x14ac:dyDescent="0.3">
      <c r="A99" t="s">
        <v>243</v>
      </c>
      <c r="B99" t="s">
        <v>46</v>
      </c>
      <c r="C99" t="s">
        <v>32</v>
      </c>
      <c r="D99">
        <v>36</v>
      </c>
      <c r="E99" t="str" cm="1">
        <f t="array" aca="1" ref="E99" ca="1">_xlfn.IFS(
H99="Cardiology",CHOOSE(RANDBETWEEN(1,6),"Hypertension","Arrhythmia","Angina","Heart Failure","Chest Pain","Coronary Artery Disease"),
H99="General Medicine",CHOOSE(RANDBETWEEN(1,6),"Viral Fever","Influenza","Diabetes","Gastritis","Typhoid","Food Poisoning"),
H99="Orthopedics",CHOOSE(RANDBETWEEN(1,6),"Fracture","Arthritis","Back Pain","Joint Pain","Knee Injury","Shoulder Dislocation"),
H99="Neurology",CHOOSE(RANDBETWEEN(1,6),"Migraine","Stroke","Epilepsy","Vertigo","Parkinson's Disease","Peripheral Neuropathy"),
H99="Pediatrics",CHOOSE(RANDBETWEEN(1,6),"Common Cold","Asthma","Pneumonia","Ear Infection","Viral Fever","Stomach Infection"),
H99="Dermatology",CHOOSE(RANDBETWEEN(1,6),"Acne","Eczema","Psoriasis","Fungal Infection","Heat Rash","Contact Dermatitis"),
H99="ENT",CHOOSE(RANDBETWEEN(1,6),"Sinusitis","Tonsillitis","Ear Infection","Throat Infection","Allergic Rhinitis","Otitis Media"),
H99="Gynecology",CHOOSE(RANDBETWEEN(1,6),"PCOS","UTI","Pregnancy Checkup","Menstrual Disorder","Ovarian Cyst","Endometriosis")
)</f>
        <v>Pregnancy Checkup</v>
      </c>
      <c r="F99" t="str" cm="1">
        <f t="array" ref="F99">_xlfn.SWITCH(K99,
"January","Winter",
"February","Winter",
"March","Summer",
"April","Summer",
"May","Summer",
"June","Monsoon",
"July","Monsoon",
"August","Monsoon",
"September","Monsoon",
"October","Post-Monsoon",
"November","Post-Monsoon",
"December","Winter")</f>
        <v>Summer</v>
      </c>
      <c r="G99" t="s">
        <v>47</v>
      </c>
      <c r="H99" t="s">
        <v>34</v>
      </c>
      <c r="I99" t="s">
        <v>35</v>
      </c>
      <c r="J99" s="1">
        <v>45808</v>
      </c>
      <c r="K99" t="str">
        <f t="shared" si="11"/>
        <v>May</v>
      </c>
      <c r="L99">
        <f t="shared" si="13"/>
        <v>5</v>
      </c>
      <c r="M99" t="s">
        <v>26</v>
      </c>
      <c r="N99" t="s">
        <v>27</v>
      </c>
      <c r="O99">
        <v>1200</v>
      </c>
      <c r="P99">
        <v>1000</v>
      </c>
      <c r="Q99">
        <v>800</v>
      </c>
      <c r="R99">
        <v>0</v>
      </c>
      <c r="S99" t="s">
        <v>28</v>
      </c>
      <c r="T99" t="s">
        <v>29</v>
      </c>
      <c r="U99">
        <v>3000</v>
      </c>
      <c r="V99">
        <v>0</v>
      </c>
      <c r="W99">
        <v>4.8</v>
      </c>
      <c r="X99" t="s">
        <v>456</v>
      </c>
      <c r="Y99" t="s">
        <v>657</v>
      </c>
      <c r="Z99" s="1">
        <v>45808</v>
      </c>
      <c r="AA99" s="1">
        <f>Table1[[#This Row],[Admission_Date]]+Table1[[#This Row],[Length_of_Stay]]</f>
        <v>45808</v>
      </c>
      <c r="AB99" t="str">
        <f t="shared" ca="1" si="14"/>
        <v>N/A</v>
      </c>
      <c r="AC99" t="str">
        <f ca="1">IF(AB99="General Ward","GW"&amp;TEXT(COUNTIF($AB$2:AB99,"General Ward"),"000"),IF(AB99="Semi Private","SP"&amp;TEXT(COUNTIF($AB$2:AB99,"Semi Private"),"000"),IF(AB99="Private Room","PR"&amp;TEXT(COUNTIF($AB$2:AB99,"Private Room"),"000"),IF(AB99="ICU","ICU"&amp;TEXT(COUNTIF($AB$2:AB99,"ICU"),"000"),"N/A"))))</f>
        <v>N/A</v>
      </c>
      <c r="AD99" t="str">
        <f t="shared" ca="1" si="12"/>
        <v>Not Admitted</v>
      </c>
      <c r="AE99" s="2" t="str">
        <f t="shared" ca="1" si="15"/>
        <v>N/A</v>
      </c>
    </row>
    <row r="100" spans="1:31" x14ac:dyDescent="0.3">
      <c r="A100" t="s">
        <v>244</v>
      </c>
      <c r="B100" t="s">
        <v>39</v>
      </c>
      <c r="C100" t="s">
        <v>22</v>
      </c>
      <c r="D100">
        <v>54</v>
      </c>
      <c r="E100" t="str" cm="1">
        <f t="array" aca="1" ref="E100" ca="1">_xlfn.IFS(
H100="Cardiology",CHOOSE(RANDBETWEEN(1,6),"Hypertension","Arrhythmia","Angina","Heart Failure","Chest Pain","Coronary Artery Disease"),
H100="General Medicine",CHOOSE(RANDBETWEEN(1,6),"Viral Fever","Influenza","Diabetes","Gastritis","Typhoid","Food Poisoning"),
H100="Orthopedics",CHOOSE(RANDBETWEEN(1,6),"Fracture","Arthritis","Back Pain","Joint Pain","Knee Injury","Shoulder Dislocation"),
H100="Neurology",CHOOSE(RANDBETWEEN(1,6),"Migraine","Stroke","Epilepsy","Vertigo","Parkinson's Disease","Peripheral Neuropathy"),
H100="Pediatrics",CHOOSE(RANDBETWEEN(1,6),"Common Cold","Asthma","Pneumonia","Ear Infection","Viral Fever","Stomach Infection"),
H100="Dermatology",CHOOSE(RANDBETWEEN(1,6),"Acne","Eczema","Psoriasis","Fungal Infection","Heat Rash","Contact Dermatitis"),
H100="ENT",CHOOSE(RANDBETWEEN(1,6),"Sinusitis","Tonsillitis","Ear Infection","Throat Infection","Allergic Rhinitis","Otitis Media"),
H100="Gynecology",CHOOSE(RANDBETWEEN(1,6),"PCOS","UTI","Pregnancy Checkup","Menstrual Disorder","Ovarian Cyst","Endometriosis")
)</f>
        <v>Arrhythmia</v>
      </c>
      <c r="F100" t="str" cm="1">
        <f t="array" ref="F100">_xlfn.SWITCH(K100,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00" t="s">
        <v>40</v>
      </c>
      <c r="H100" t="s">
        <v>24</v>
      </c>
      <c r="I100" t="s">
        <v>93</v>
      </c>
      <c r="J100" s="1">
        <v>45809</v>
      </c>
      <c r="K100" t="str">
        <f t="shared" si="11"/>
        <v>June</v>
      </c>
      <c r="L100">
        <f t="shared" si="13"/>
        <v>6</v>
      </c>
      <c r="M100" t="s">
        <v>26</v>
      </c>
      <c r="N100" t="s">
        <v>36</v>
      </c>
      <c r="O100">
        <v>1900</v>
      </c>
      <c r="P100">
        <v>7500</v>
      </c>
      <c r="Q100">
        <v>4000</v>
      </c>
      <c r="R100">
        <v>24000</v>
      </c>
      <c r="S100" t="s">
        <v>37</v>
      </c>
      <c r="T100" t="s">
        <v>15</v>
      </c>
      <c r="U100">
        <v>37400</v>
      </c>
      <c r="V100">
        <v>6</v>
      </c>
      <c r="W100">
        <v>4.9000000000000004</v>
      </c>
      <c r="X100" t="s">
        <v>457</v>
      </c>
      <c r="Y100" t="s">
        <v>658</v>
      </c>
      <c r="Z100" s="1">
        <v>45809</v>
      </c>
      <c r="AA100" s="1">
        <f>Table1[[#This Row],[Admission_Date]]+Table1[[#This Row],[Length_of_Stay]]</f>
        <v>45815</v>
      </c>
      <c r="AB100" t="str">
        <f t="shared" ca="1" si="14"/>
        <v>ICU</v>
      </c>
      <c r="AC100" t="str">
        <f ca="1">IF(AB100="General Ward","GW"&amp;TEXT(COUNTIF($AB$2:AB100,"General Ward"),"000"),IF(AB100="Semi Private","SP"&amp;TEXT(COUNTIF($AB$2:AB100,"Semi Private"),"000"),IF(AB100="Private Room","PR"&amp;TEXT(COUNTIF($AB$2:AB100,"Private Room"),"000"),IF(AB100="ICU","ICU"&amp;TEXT(COUNTIF($AB$2:AB100,"ICU"),"000"),"N/A"))))</f>
        <v>ICU005</v>
      </c>
      <c r="AD100" t="str">
        <f t="shared" ca="1" si="12"/>
        <v>Occupied</v>
      </c>
      <c r="AE100" s="2" t="str">
        <f t="shared" ca="1" si="15"/>
        <v>Scheduled</v>
      </c>
    </row>
    <row r="101" spans="1:31" x14ac:dyDescent="0.3">
      <c r="A101" t="s">
        <v>245</v>
      </c>
      <c r="B101" t="s">
        <v>122</v>
      </c>
      <c r="C101" t="s">
        <v>32</v>
      </c>
      <c r="D101">
        <v>31</v>
      </c>
      <c r="E101" t="str" cm="1">
        <f t="array" aca="1" ref="E101" ca="1">_xlfn.IFS(
H101="Cardiology",CHOOSE(RANDBETWEEN(1,6),"Hypertension","Arrhythmia","Angina","Heart Failure","Chest Pain","Coronary Artery Disease"),
H101="General Medicine",CHOOSE(RANDBETWEEN(1,6),"Viral Fever","Influenza","Diabetes","Gastritis","Typhoid","Food Poisoning"),
H101="Orthopedics",CHOOSE(RANDBETWEEN(1,6),"Fracture","Arthritis","Back Pain","Joint Pain","Knee Injury","Shoulder Dislocation"),
H101="Neurology",CHOOSE(RANDBETWEEN(1,6),"Migraine","Stroke","Epilepsy","Vertigo","Parkinson's Disease","Peripheral Neuropathy"),
H101="Pediatrics",CHOOSE(RANDBETWEEN(1,6),"Common Cold","Asthma","Pneumonia","Ear Infection","Viral Fever","Stomach Infection"),
H101="Dermatology",CHOOSE(RANDBETWEEN(1,6),"Acne","Eczema","Psoriasis","Fungal Infection","Heat Rash","Contact Dermatitis"),
H101="ENT",CHOOSE(RANDBETWEEN(1,6),"Sinusitis","Tonsillitis","Ear Infection","Throat Infection","Allergic Rhinitis","Otitis Media"),
H101="Gynecology",CHOOSE(RANDBETWEEN(1,6),"PCOS","UTI","Pregnancy Checkup","Menstrual Disorder","Ovarian Cyst","Endometriosis")
)</f>
        <v>Food Poisoning</v>
      </c>
      <c r="F101" t="str" cm="1">
        <f t="array" ref="F101">_xlfn.SWITCH(K101,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01" t="s">
        <v>33</v>
      </c>
      <c r="H101" t="s">
        <v>73</v>
      </c>
      <c r="I101" t="s">
        <v>105</v>
      </c>
      <c r="J101" s="1">
        <v>45810</v>
      </c>
      <c r="K101" t="str">
        <f t="shared" si="11"/>
        <v>June</v>
      </c>
      <c r="L101">
        <f t="shared" si="13"/>
        <v>6</v>
      </c>
      <c r="M101" t="s">
        <v>26</v>
      </c>
      <c r="N101" t="s">
        <v>27</v>
      </c>
      <c r="O101">
        <v>800</v>
      </c>
      <c r="P101">
        <v>1000</v>
      </c>
      <c r="Q101">
        <v>700</v>
      </c>
      <c r="R101">
        <v>0</v>
      </c>
      <c r="S101" t="s">
        <v>28</v>
      </c>
      <c r="T101" t="s">
        <v>50</v>
      </c>
      <c r="U101">
        <v>2500</v>
      </c>
      <c r="V101">
        <v>0</v>
      </c>
      <c r="W101">
        <v>4.7</v>
      </c>
      <c r="X101" t="s">
        <v>458</v>
      </c>
      <c r="Y101" t="s">
        <v>659</v>
      </c>
      <c r="Z101" s="1">
        <v>45810</v>
      </c>
      <c r="AA101" s="1">
        <f>Table1[[#This Row],[Admission_Date]]+Table1[[#This Row],[Length_of_Stay]]</f>
        <v>45810</v>
      </c>
      <c r="AB101" t="str">
        <f t="shared" ca="1" si="14"/>
        <v>N/A</v>
      </c>
      <c r="AC101" t="str">
        <f ca="1">IF(AB101="General Ward","GW"&amp;TEXT(COUNTIF($AB$2:AB101,"General Ward"),"000"),IF(AB101="Semi Private","SP"&amp;TEXT(COUNTIF($AB$2:AB101,"Semi Private"),"000"),IF(AB101="Private Room","PR"&amp;TEXT(COUNTIF($AB$2:AB101,"Private Room"),"000"),IF(AB101="ICU","ICU"&amp;TEXT(COUNTIF($AB$2:AB101,"ICU"),"000"),"N/A"))))</f>
        <v>N/A</v>
      </c>
      <c r="AD101" t="str">
        <f t="shared" ca="1" si="12"/>
        <v>Not Admitted</v>
      </c>
      <c r="AE101" s="2" t="str">
        <f t="shared" ca="1" si="15"/>
        <v>N/A</v>
      </c>
    </row>
    <row r="102" spans="1:31" x14ac:dyDescent="0.3">
      <c r="A102" t="s">
        <v>246</v>
      </c>
      <c r="B102" t="s">
        <v>136</v>
      </c>
      <c r="C102" t="s">
        <v>22</v>
      </c>
      <c r="D102">
        <v>38</v>
      </c>
      <c r="E102" t="str" cm="1">
        <f t="array" aca="1" ref="E102" ca="1">_xlfn.IFS(
H102="Cardiology",CHOOSE(RANDBETWEEN(1,6),"Hypertension","Arrhythmia","Angina","Heart Failure","Chest Pain","Coronary Artery Disease"),
H102="General Medicine",CHOOSE(RANDBETWEEN(1,6),"Viral Fever","Influenza","Diabetes","Gastritis","Typhoid","Food Poisoning"),
H102="Orthopedics",CHOOSE(RANDBETWEEN(1,6),"Fracture","Arthritis","Back Pain","Joint Pain","Knee Injury","Shoulder Dislocation"),
H102="Neurology",CHOOSE(RANDBETWEEN(1,6),"Migraine","Stroke","Epilepsy","Vertigo","Parkinson's Disease","Peripheral Neuropathy"),
H102="Pediatrics",CHOOSE(RANDBETWEEN(1,6),"Common Cold","Asthma","Pneumonia","Ear Infection","Viral Fever","Stomach Infection"),
H102="Dermatology",CHOOSE(RANDBETWEEN(1,6),"Acne","Eczema","Psoriasis","Fungal Infection","Heat Rash","Contact Dermatitis"),
H102="ENT",CHOOSE(RANDBETWEEN(1,6),"Sinusitis","Tonsillitis","Ear Infection","Throat Infection","Allergic Rhinitis","Otitis Media"),
H102="Gynecology",CHOOSE(RANDBETWEEN(1,6),"PCOS","UTI","Pregnancy Checkup","Menstrual Disorder","Ovarian Cyst","Endometriosis")
)</f>
        <v>Arthritis</v>
      </c>
      <c r="F102" t="str" cm="1">
        <f t="array" ref="F102">_xlfn.SWITCH(K102,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02" t="s">
        <v>23</v>
      </c>
      <c r="H102" t="s">
        <v>41</v>
      </c>
      <c r="I102" t="s">
        <v>42</v>
      </c>
      <c r="J102" s="1">
        <v>45811</v>
      </c>
      <c r="K102" t="str">
        <f t="shared" si="11"/>
        <v>June</v>
      </c>
      <c r="L102">
        <f t="shared" si="13"/>
        <v>6</v>
      </c>
      <c r="M102" t="s">
        <v>26</v>
      </c>
      <c r="N102" t="s">
        <v>27</v>
      </c>
      <c r="O102">
        <v>1400</v>
      </c>
      <c r="P102">
        <v>1800</v>
      </c>
      <c r="Q102">
        <v>1200</v>
      </c>
      <c r="R102">
        <v>0</v>
      </c>
      <c r="S102" t="s">
        <v>28</v>
      </c>
      <c r="T102" t="s">
        <v>29</v>
      </c>
      <c r="U102">
        <v>4400</v>
      </c>
      <c r="V102">
        <v>0</v>
      </c>
      <c r="W102">
        <v>4.7</v>
      </c>
      <c r="X102" t="s">
        <v>459</v>
      </c>
      <c r="Y102" t="s">
        <v>660</v>
      </c>
      <c r="Z102" s="1">
        <v>45811</v>
      </c>
      <c r="AA102" s="1">
        <f>Table1[[#This Row],[Admission_Date]]+Table1[[#This Row],[Length_of_Stay]]</f>
        <v>45811</v>
      </c>
      <c r="AB102" t="str">
        <f t="shared" ca="1" si="14"/>
        <v>N/A</v>
      </c>
      <c r="AC102" t="str">
        <f ca="1">IF(AB102="General Ward","GW"&amp;TEXT(COUNTIF($AB$2:AB102,"General Ward"),"000"),IF(AB102="Semi Private","SP"&amp;TEXT(COUNTIF($AB$2:AB102,"Semi Private"),"000"),IF(AB102="Private Room","PR"&amp;TEXT(COUNTIF($AB$2:AB102,"Private Room"),"000"),IF(AB102="ICU","ICU"&amp;TEXT(COUNTIF($AB$2:AB102,"ICU"),"000"),"N/A"))))</f>
        <v>N/A</v>
      </c>
      <c r="AD102" t="str">
        <f t="shared" ca="1" si="12"/>
        <v>Not Admitted</v>
      </c>
      <c r="AE102" s="2" t="str">
        <f t="shared" ca="1" si="15"/>
        <v>N/A</v>
      </c>
    </row>
    <row r="103" spans="1:31" x14ac:dyDescent="0.3">
      <c r="A103" t="s">
        <v>247</v>
      </c>
      <c r="B103" t="s">
        <v>159</v>
      </c>
      <c r="C103" t="s">
        <v>32</v>
      </c>
      <c r="D103">
        <v>45</v>
      </c>
      <c r="E103" t="str" cm="1">
        <f t="array" aca="1" ref="E103" ca="1">_xlfn.IFS(
H103="Cardiology",CHOOSE(RANDBETWEEN(1,6),"Hypertension","Arrhythmia","Angina","Heart Failure","Chest Pain","Coronary Artery Disease"),
H103="General Medicine",CHOOSE(RANDBETWEEN(1,6),"Viral Fever","Influenza","Diabetes","Gastritis","Typhoid","Food Poisoning"),
H103="Orthopedics",CHOOSE(RANDBETWEEN(1,6),"Fracture","Arthritis","Back Pain","Joint Pain","Knee Injury","Shoulder Dislocation"),
H103="Neurology",CHOOSE(RANDBETWEEN(1,6),"Migraine","Stroke","Epilepsy","Vertigo","Parkinson's Disease","Peripheral Neuropathy"),
H103="Pediatrics",CHOOSE(RANDBETWEEN(1,6),"Common Cold","Asthma","Pneumonia","Ear Infection","Viral Fever","Stomach Infection"),
H103="Dermatology",CHOOSE(RANDBETWEEN(1,6),"Acne","Eczema","Psoriasis","Fungal Infection","Heat Rash","Contact Dermatitis"),
H103="ENT",CHOOSE(RANDBETWEEN(1,6),"Sinusitis","Tonsillitis","Ear Infection","Throat Infection","Allergic Rhinitis","Otitis Media"),
H103="Gynecology",CHOOSE(RANDBETWEEN(1,6),"PCOS","UTI","Pregnancy Checkup","Menstrual Disorder","Ovarian Cyst","Endometriosis")
)</f>
        <v>UTI</v>
      </c>
      <c r="F103" t="str" cm="1">
        <f t="array" ref="F103">_xlfn.SWITCH(K103,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03" t="s">
        <v>47</v>
      </c>
      <c r="H103" t="s">
        <v>34</v>
      </c>
      <c r="I103" t="s">
        <v>165</v>
      </c>
      <c r="J103" s="1">
        <v>45812</v>
      </c>
      <c r="K103" t="str">
        <f t="shared" si="11"/>
        <v>June</v>
      </c>
      <c r="L103">
        <f t="shared" si="13"/>
        <v>6</v>
      </c>
      <c r="M103" t="s">
        <v>26</v>
      </c>
      <c r="N103" t="s">
        <v>27</v>
      </c>
      <c r="O103">
        <v>1200</v>
      </c>
      <c r="P103">
        <v>1000</v>
      </c>
      <c r="Q103">
        <v>800</v>
      </c>
      <c r="R103">
        <v>0</v>
      </c>
      <c r="S103" t="s">
        <v>28</v>
      </c>
      <c r="T103" t="s">
        <v>50</v>
      </c>
      <c r="U103">
        <v>3000</v>
      </c>
      <c r="V103">
        <v>0</v>
      </c>
      <c r="W103">
        <v>4.8</v>
      </c>
      <c r="X103" t="s">
        <v>460</v>
      </c>
      <c r="Y103" t="s">
        <v>661</v>
      </c>
      <c r="Z103" s="1">
        <v>45812</v>
      </c>
      <c r="AA103" s="1">
        <f>Table1[[#This Row],[Admission_Date]]+Table1[[#This Row],[Length_of_Stay]]</f>
        <v>45812</v>
      </c>
      <c r="AB103" t="str">
        <f t="shared" ca="1" si="14"/>
        <v>N/A</v>
      </c>
      <c r="AC103" t="str">
        <f ca="1">IF(AB103="General Ward","GW"&amp;TEXT(COUNTIF($AB$2:AB103,"General Ward"),"000"),IF(AB103="Semi Private","SP"&amp;TEXT(COUNTIF($AB$2:AB103,"Semi Private"),"000"),IF(AB103="Private Room","PR"&amp;TEXT(COUNTIF($AB$2:AB103,"Private Room"),"000"),IF(AB103="ICU","ICU"&amp;TEXT(COUNTIF($AB$2:AB103,"ICU"),"000"),"N/A"))))</f>
        <v>N/A</v>
      </c>
      <c r="AD103" t="str">
        <f t="shared" ca="1" si="12"/>
        <v>Not Admitted</v>
      </c>
      <c r="AE103" s="2" t="str">
        <f t="shared" ca="1" si="15"/>
        <v>N/A</v>
      </c>
    </row>
    <row r="104" spans="1:31" x14ac:dyDescent="0.3">
      <c r="A104" t="s">
        <v>248</v>
      </c>
      <c r="B104" t="s">
        <v>104</v>
      </c>
      <c r="C104" t="s">
        <v>22</v>
      </c>
      <c r="D104">
        <v>66</v>
      </c>
      <c r="E104" t="str" cm="1">
        <f t="array" aca="1" ref="E104" ca="1">_xlfn.IFS(
H104="Cardiology",CHOOSE(RANDBETWEEN(1,6),"Hypertension","Arrhythmia","Angina","Heart Failure","Chest Pain","Coronary Artery Disease"),
H104="General Medicine",CHOOSE(RANDBETWEEN(1,6),"Viral Fever","Influenza","Diabetes","Gastritis","Typhoid","Food Poisoning"),
H104="Orthopedics",CHOOSE(RANDBETWEEN(1,6),"Fracture","Arthritis","Back Pain","Joint Pain","Knee Injury","Shoulder Dislocation"),
H104="Neurology",CHOOSE(RANDBETWEEN(1,6),"Migraine","Stroke","Epilepsy","Vertigo","Parkinson's Disease","Peripheral Neuropathy"),
H104="Pediatrics",CHOOSE(RANDBETWEEN(1,6),"Common Cold","Asthma","Pneumonia","Ear Infection","Viral Fever","Stomach Infection"),
H104="Dermatology",CHOOSE(RANDBETWEEN(1,6),"Acne","Eczema","Psoriasis","Fungal Infection","Heat Rash","Contact Dermatitis"),
H104="ENT",CHOOSE(RANDBETWEEN(1,6),"Sinusitis","Tonsillitis","Ear Infection","Throat Infection","Allergic Rhinitis","Otitis Media"),
H104="Gynecology",CHOOSE(RANDBETWEEN(1,6),"PCOS","UTI","Pregnancy Checkup","Menstrual Disorder","Ovarian Cyst","Endometriosis")
)</f>
        <v>Chest Pain</v>
      </c>
      <c r="F104" t="str" cm="1">
        <f t="array" ref="F104">_xlfn.SWITCH(K104,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04" t="s">
        <v>40</v>
      </c>
      <c r="H104" t="s">
        <v>24</v>
      </c>
      <c r="I104" t="s">
        <v>25</v>
      </c>
      <c r="J104" s="1">
        <v>45813</v>
      </c>
      <c r="K104" t="str">
        <f t="shared" si="11"/>
        <v>June</v>
      </c>
      <c r="L104">
        <f t="shared" si="13"/>
        <v>6</v>
      </c>
      <c r="M104" t="s">
        <v>26</v>
      </c>
      <c r="N104" t="s">
        <v>36</v>
      </c>
      <c r="O104">
        <v>2200</v>
      </c>
      <c r="P104">
        <v>9000</v>
      </c>
      <c r="Q104">
        <v>4500</v>
      </c>
      <c r="R104">
        <v>28000</v>
      </c>
      <c r="S104" t="s">
        <v>37</v>
      </c>
      <c r="T104" t="s">
        <v>15</v>
      </c>
      <c r="U104">
        <v>43700</v>
      </c>
      <c r="V104">
        <v>7</v>
      </c>
      <c r="W104">
        <v>5</v>
      </c>
      <c r="X104" t="s">
        <v>461</v>
      </c>
      <c r="Y104" t="s">
        <v>662</v>
      </c>
      <c r="Z104" s="1">
        <v>45813</v>
      </c>
      <c r="AA104" s="1">
        <f>Table1[[#This Row],[Admission_Date]]+Table1[[#This Row],[Length_of_Stay]]</f>
        <v>45820</v>
      </c>
      <c r="AB104" t="str">
        <f t="shared" ca="1" si="14"/>
        <v>ICU</v>
      </c>
      <c r="AC104" t="str">
        <f ca="1">IF(AB104="General Ward","GW"&amp;TEXT(COUNTIF($AB$2:AB104,"General Ward"),"000"),IF(AB104="Semi Private","SP"&amp;TEXT(COUNTIF($AB$2:AB104,"Semi Private"),"000"),IF(AB104="Private Room","PR"&amp;TEXT(COUNTIF($AB$2:AB104,"Private Room"),"000"),IF(AB104="ICU","ICU"&amp;TEXT(COUNTIF($AB$2:AB104,"ICU"),"000"),"N/A"))))</f>
        <v>ICU006</v>
      </c>
      <c r="AD104" t="str">
        <f t="shared" ca="1" si="12"/>
        <v>Available</v>
      </c>
      <c r="AE104" s="2" t="str">
        <f t="shared" ca="1" si="15"/>
        <v>Scheduled</v>
      </c>
    </row>
    <row r="105" spans="1:31" x14ac:dyDescent="0.3">
      <c r="A105" t="s">
        <v>249</v>
      </c>
      <c r="B105" t="s">
        <v>57</v>
      </c>
      <c r="C105" t="s">
        <v>32</v>
      </c>
      <c r="D105">
        <v>10</v>
      </c>
      <c r="E105" t="str" cm="1">
        <f t="array" aca="1" ref="E105" ca="1">_xlfn.IFS(
H105="Cardiology",CHOOSE(RANDBETWEEN(1,6),"Hypertension","Arrhythmia","Angina","Heart Failure","Chest Pain","Coronary Artery Disease"),
H105="General Medicine",CHOOSE(RANDBETWEEN(1,6),"Viral Fever","Influenza","Diabetes","Gastritis","Typhoid","Food Poisoning"),
H105="Orthopedics",CHOOSE(RANDBETWEEN(1,6),"Fracture","Arthritis","Back Pain","Joint Pain","Knee Injury","Shoulder Dislocation"),
H105="Neurology",CHOOSE(RANDBETWEEN(1,6),"Migraine","Stroke","Epilepsy","Vertigo","Parkinson's Disease","Peripheral Neuropathy"),
H105="Pediatrics",CHOOSE(RANDBETWEEN(1,6),"Common Cold","Asthma","Pneumonia","Ear Infection","Viral Fever","Stomach Infection"),
H105="Dermatology",CHOOSE(RANDBETWEEN(1,6),"Acne","Eczema","Psoriasis","Fungal Infection","Heat Rash","Contact Dermatitis"),
H105="ENT",CHOOSE(RANDBETWEEN(1,6),"Sinusitis","Tonsillitis","Ear Infection","Throat Infection","Allergic Rhinitis","Otitis Media"),
H105="Gynecology",CHOOSE(RANDBETWEEN(1,6),"PCOS","UTI","Pregnancy Checkup","Menstrual Disorder","Ovarian Cyst","Endometriosis")
)</f>
        <v>Pneumonia</v>
      </c>
      <c r="F105" t="str" cm="1">
        <f t="array" ref="F105">_xlfn.SWITCH(K105,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05" t="s">
        <v>33</v>
      </c>
      <c r="H105" t="s">
        <v>48</v>
      </c>
      <c r="I105" t="s">
        <v>49</v>
      </c>
      <c r="J105" s="1">
        <v>45814</v>
      </c>
      <c r="K105" t="str">
        <f t="shared" si="11"/>
        <v>June</v>
      </c>
      <c r="L105">
        <f t="shared" si="13"/>
        <v>6</v>
      </c>
      <c r="M105" t="s">
        <v>26</v>
      </c>
      <c r="N105" t="s">
        <v>27</v>
      </c>
      <c r="O105">
        <v>700</v>
      </c>
      <c r="P105">
        <v>500</v>
      </c>
      <c r="Q105">
        <v>400</v>
      </c>
      <c r="R105">
        <v>0</v>
      </c>
      <c r="S105" t="s">
        <v>28</v>
      </c>
      <c r="T105" t="s">
        <v>44</v>
      </c>
      <c r="U105">
        <v>1600</v>
      </c>
      <c r="V105">
        <v>0</v>
      </c>
      <c r="W105">
        <v>4.9000000000000004</v>
      </c>
      <c r="X105" t="s">
        <v>462</v>
      </c>
      <c r="Y105" t="s">
        <v>663</v>
      </c>
      <c r="Z105" s="1">
        <v>45814</v>
      </c>
      <c r="AA105" s="1">
        <f>Table1[[#This Row],[Admission_Date]]+Table1[[#This Row],[Length_of_Stay]]</f>
        <v>45814</v>
      </c>
      <c r="AB105" t="str">
        <f t="shared" ca="1" si="14"/>
        <v>N/A</v>
      </c>
      <c r="AC105" t="str">
        <f ca="1">IF(AB105="General Ward","GW"&amp;TEXT(COUNTIF($AB$2:AB105,"General Ward"),"000"),IF(AB105="Semi Private","SP"&amp;TEXT(COUNTIF($AB$2:AB105,"Semi Private"),"000"),IF(AB105="Private Room","PR"&amp;TEXT(COUNTIF($AB$2:AB105,"Private Room"),"000"),IF(AB105="ICU","ICU"&amp;TEXT(COUNTIF($AB$2:AB105,"ICU"),"000"),"N/A"))))</f>
        <v>N/A</v>
      </c>
      <c r="AD105" t="str">
        <f t="shared" ca="1" si="12"/>
        <v>Not Admitted</v>
      </c>
      <c r="AE105" s="2" t="str">
        <f t="shared" ca="1" si="15"/>
        <v>N/A</v>
      </c>
    </row>
    <row r="106" spans="1:31" x14ac:dyDescent="0.3">
      <c r="A106" t="s">
        <v>250</v>
      </c>
      <c r="B106" t="s">
        <v>62</v>
      </c>
      <c r="C106" t="s">
        <v>22</v>
      </c>
      <c r="D106">
        <v>41</v>
      </c>
      <c r="E106" t="str" cm="1">
        <f t="array" aca="1" ref="E106" ca="1">_xlfn.IFS(
H106="Cardiology",CHOOSE(RANDBETWEEN(1,6),"Hypertension","Arrhythmia","Angina","Heart Failure","Chest Pain","Coronary Artery Disease"),
H106="General Medicine",CHOOSE(RANDBETWEEN(1,6),"Viral Fever","Influenza","Diabetes","Gastritis","Typhoid","Food Poisoning"),
H106="Orthopedics",CHOOSE(RANDBETWEEN(1,6),"Fracture","Arthritis","Back Pain","Joint Pain","Knee Injury","Shoulder Dislocation"),
H106="Neurology",CHOOSE(RANDBETWEEN(1,6),"Migraine","Stroke","Epilepsy","Vertigo","Parkinson's Disease","Peripheral Neuropathy"),
H106="Pediatrics",CHOOSE(RANDBETWEEN(1,6),"Common Cold","Asthma","Pneumonia","Ear Infection","Viral Fever","Stomach Infection"),
H106="Dermatology",CHOOSE(RANDBETWEEN(1,6),"Acne","Eczema","Psoriasis","Fungal Infection","Heat Rash","Contact Dermatitis"),
H106="ENT",CHOOSE(RANDBETWEEN(1,6),"Sinusitis","Tonsillitis","Ear Infection","Throat Infection","Allergic Rhinitis","Otitis Media"),
H106="Gynecology",CHOOSE(RANDBETWEEN(1,6),"PCOS","UTI","Pregnancy Checkup","Menstrual Disorder","Ovarian Cyst","Endometriosis")
)</f>
        <v>Fungal Infection</v>
      </c>
      <c r="F106" t="str" cm="1">
        <f t="array" ref="F106">_xlfn.SWITCH(K106,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06" t="s">
        <v>53</v>
      </c>
      <c r="H106" t="s">
        <v>58</v>
      </c>
      <c r="I106" t="s">
        <v>151</v>
      </c>
      <c r="J106" s="1">
        <v>45815</v>
      </c>
      <c r="K106" t="str">
        <f t="shared" si="11"/>
        <v>June</v>
      </c>
      <c r="L106">
        <f t="shared" si="13"/>
        <v>6</v>
      </c>
      <c r="M106" t="s">
        <v>43</v>
      </c>
      <c r="N106" t="s">
        <v>27</v>
      </c>
      <c r="O106">
        <v>900</v>
      </c>
      <c r="P106">
        <v>700</v>
      </c>
      <c r="Q106">
        <v>600</v>
      </c>
      <c r="R106">
        <v>0</v>
      </c>
      <c r="S106" t="s">
        <v>28</v>
      </c>
      <c r="T106" t="s">
        <v>29</v>
      </c>
      <c r="U106">
        <v>2200</v>
      </c>
      <c r="V106">
        <v>0</v>
      </c>
      <c r="W106">
        <v>4.3</v>
      </c>
      <c r="X106" t="s">
        <v>463</v>
      </c>
      <c r="Y106" t="s">
        <v>664</v>
      </c>
      <c r="Z106" s="1">
        <v>45815</v>
      </c>
      <c r="AA106" s="1">
        <f>Table1[[#This Row],[Admission_Date]]+Table1[[#This Row],[Length_of_Stay]]</f>
        <v>45815</v>
      </c>
      <c r="AB106" t="str">
        <f t="shared" ca="1" si="14"/>
        <v>N/A</v>
      </c>
      <c r="AC106" t="str">
        <f ca="1">IF(AB106="General Ward","GW"&amp;TEXT(COUNTIF($AB$2:AB106,"General Ward"),"000"),IF(AB106="Semi Private","SP"&amp;TEXT(COUNTIF($AB$2:AB106,"Semi Private"),"000"),IF(AB106="Private Room","PR"&amp;TEXT(COUNTIF($AB$2:AB106,"Private Room"),"000"),IF(AB106="ICU","ICU"&amp;TEXT(COUNTIF($AB$2:AB106,"ICU"),"000"),"N/A"))))</f>
        <v>N/A</v>
      </c>
      <c r="AD106" t="str">
        <f t="shared" ca="1" si="12"/>
        <v>Not Admitted</v>
      </c>
      <c r="AE106" s="2" t="str">
        <f t="shared" ca="1" si="15"/>
        <v>N/A</v>
      </c>
    </row>
    <row r="107" spans="1:31" x14ac:dyDescent="0.3">
      <c r="A107" t="s">
        <v>251</v>
      </c>
      <c r="B107" t="s">
        <v>118</v>
      </c>
      <c r="C107" t="s">
        <v>32</v>
      </c>
      <c r="D107">
        <v>35</v>
      </c>
      <c r="E107" t="str" cm="1">
        <f t="array" aca="1" ref="E107" ca="1">_xlfn.IFS(
H107="Cardiology",CHOOSE(RANDBETWEEN(1,6),"Hypertension","Arrhythmia","Angina","Heart Failure","Chest Pain","Coronary Artery Disease"),
H107="General Medicine",CHOOSE(RANDBETWEEN(1,6),"Viral Fever","Influenza","Diabetes","Gastritis","Typhoid","Food Poisoning"),
H107="Orthopedics",CHOOSE(RANDBETWEEN(1,6),"Fracture","Arthritis","Back Pain","Joint Pain","Knee Injury","Shoulder Dislocation"),
H107="Neurology",CHOOSE(RANDBETWEEN(1,6),"Migraine","Stroke","Epilepsy","Vertigo","Parkinson's Disease","Peripheral Neuropathy"),
H107="Pediatrics",CHOOSE(RANDBETWEEN(1,6),"Common Cold","Asthma","Pneumonia","Ear Infection","Viral Fever","Stomach Infection"),
H107="Dermatology",CHOOSE(RANDBETWEEN(1,6),"Acne","Eczema","Psoriasis","Fungal Infection","Heat Rash","Contact Dermatitis"),
H107="ENT",CHOOSE(RANDBETWEEN(1,6),"Sinusitis","Tonsillitis","Ear Infection","Throat Infection","Allergic Rhinitis","Otitis Media"),
H107="Gynecology",CHOOSE(RANDBETWEEN(1,6),"PCOS","UTI","Pregnancy Checkup","Menstrual Disorder","Ovarian Cyst","Endometriosis")
)</f>
        <v>Otitis Media</v>
      </c>
      <c r="F107" t="str" cm="1">
        <f t="array" ref="F107">_xlfn.SWITCH(K107,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07" t="s">
        <v>68</v>
      </c>
      <c r="H107" t="s">
        <v>64</v>
      </c>
      <c r="I107" t="s">
        <v>78</v>
      </c>
      <c r="J107" s="1">
        <v>45816</v>
      </c>
      <c r="K107" t="str">
        <f t="shared" si="11"/>
        <v>June</v>
      </c>
      <c r="L107">
        <f t="shared" si="13"/>
        <v>6</v>
      </c>
      <c r="M107" t="s">
        <v>26</v>
      </c>
      <c r="N107" t="s">
        <v>27</v>
      </c>
      <c r="O107">
        <v>1000</v>
      </c>
      <c r="P107">
        <v>900</v>
      </c>
      <c r="Q107">
        <v>700</v>
      </c>
      <c r="R107">
        <v>0</v>
      </c>
      <c r="S107" t="s">
        <v>28</v>
      </c>
      <c r="T107" t="s">
        <v>50</v>
      </c>
      <c r="U107">
        <v>2600</v>
      </c>
      <c r="V107">
        <v>0</v>
      </c>
      <c r="W107">
        <v>4.5999999999999996</v>
      </c>
      <c r="X107" t="s">
        <v>464</v>
      </c>
      <c r="Y107" t="s">
        <v>665</v>
      </c>
      <c r="Z107" s="1">
        <v>45816</v>
      </c>
      <c r="AA107" s="1">
        <f>Table1[[#This Row],[Admission_Date]]+Table1[[#This Row],[Length_of_Stay]]</f>
        <v>45816</v>
      </c>
      <c r="AB107" t="str">
        <f t="shared" ca="1" si="14"/>
        <v>N/A</v>
      </c>
      <c r="AC107" t="str">
        <f ca="1">IF(AB107="General Ward","GW"&amp;TEXT(COUNTIF($AB$2:AB107,"General Ward"),"000"),IF(AB107="Semi Private","SP"&amp;TEXT(COUNTIF($AB$2:AB107,"Semi Private"),"000"),IF(AB107="Private Room","PR"&amp;TEXT(COUNTIF($AB$2:AB107,"Private Room"),"000"),IF(AB107="ICU","ICU"&amp;TEXT(COUNTIF($AB$2:AB107,"ICU"),"000"),"N/A"))))</f>
        <v>N/A</v>
      </c>
      <c r="AD107" t="str">
        <f t="shared" ca="1" si="12"/>
        <v>Not Admitted</v>
      </c>
      <c r="AE107" s="2" t="str">
        <f t="shared" ca="1" si="15"/>
        <v>N/A</v>
      </c>
    </row>
    <row r="108" spans="1:31" x14ac:dyDescent="0.3">
      <c r="A108" t="s">
        <v>252</v>
      </c>
      <c r="B108" t="s">
        <v>215</v>
      </c>
      <c r="C108" t="s">
        <v>22</v>
      </c>
      <c r="D108">
        <v>58</v>
      </c>
      <c r="E108" t="str" cm="1">
        <f t="array" aca="1" ref="E108" ca="1">_xlfn.IFS(
H108="Cardiology",CHOOSE(RANDBETWEEN(1,6),"Hypertension","Arrhythmia","Angina","Heart Failure","Chest Pain","Coronary Artery Disease"),
H108="General Medicine",CHOOSE(RANDBETWEEN(1,6),"Viral Fever","Influenza","Diabetes","Gastritis","Typhoid","Food Poisoning"),
H108="Orthopedics",CHOOSE(RANDBETWEEN(1,6),"Fracture","Arthritis","Back Pain","Joint Pain","Knee Injury","Shoulder Dislocation"),
H108="Neurology",CHOOSE(RANDBETWEEN(1,6),"Migraine","Stroke","Epilepsy","Vertigo","Parkinson's Disease","Peripheral Neuropathy"),
H108="Pediatrics",CHOOSE(RANDBETWEEN(1,6),"Common Cold","Asthma","Pneumonia","Ear Infection","Viral Fever","Stomach Infection"),
H108="Dermatology",CHOOSE(RANDBETWEEN(1,6),"Acne","Eczema","Psoriasis","Fungal Infection","Heat Rash","Contact Dermatitis"),
H108="ENT",CHOOSE(RANDBETWEEN(1,6),"Sinusitis","Tonsillitis","Ear Infection","Throat Infection","Allergic Rhinitis","Otitis Media"),
H108="Gynecology",CHOOSE(RANDBETWEEN(1,6),"PCOS","UTI","Pregnancy Checkup","Menstrual Disorder","Ovarian Cyst","Endometriosis")
)</f>
        <v>Influenza</v>
      </c>
      <c r="F108" t="str" cm="1">
        <f t="array" ref="F108">_xlfn.SWITCH(K108,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08" t="s">
        <v>72</v>
      </c>
      <c r="H108" t="s">
        <v>73</v>
      </c>
      <c r="I108" t="s">
        <v>74</v>
      </c>
      <c r="J108" s="1">
        <v>45817</v>
      </c>
      <c r="K108" t="str">
        <f t="shared" si="11"/>
        <v>June</v>
      </c>
      <c r="L108">
        <f t="shared" si="13"/>
        <v>6</v>
      </c>
      <c r="M108" t="s">
        <v>26</v>
      </c>
      <c r="N108" t="s">
        <v>36</v>
      </c>
      <c r="O108">
        <v>1800</v>
      </c>
      <c r="P108">
        <v>6500</v>
      </c>
      <c r="Q108">
        <v>3200</v>
      </c>
      <c r="R108">
        <v>21000</v>
      </c>
      <c r="S108" t="s">
        <v>37</v>
      </c>
      <c r="T108" t="s">
        <v>15</v>
      </c>
      <c r="U108">
        <v>32500</v>
      </c>
      <c r="V108">
        <v>5</v>
      </c>
      <c r="W108">
        <v>4.8</v>
      </c>
      <c r="X108" t="s">
        <v>465</v>
      </c>
      <c r="Y108" t="s">
        <v>666</v>
      </c>
      <c r="Z108" s="1">
        <v>45817</v>
      </c>
      <c r="AA108" s="1">
        <f>Table1[[#This Row],[Admission_Date]]+Table1[[#This Row],[Length_of_Stay]]</f>
        <v>45822</v>
      </c>
      <c r="AB108" t="str">
        <f t="shared" ca="1" si="14"/>
        <v>Private Room</v>
      </c>
      <c r="AC108" t="str">
        <f ca="1">IF(AB108="General Ward","GW"&amp;TEXT(COUNTIF($AB$2:AB108,"General Ward"),"000"),IF(AB108="Semi Private","SP"&amp;TEXT(COUNTIF($AB$2:AB108,"Semi Private"),"000"),IF(AB108="Private Room","PR"&amp;TEXT(COUNTIF($AB$2:AB108,"Private Room"),"000"),IF(AB108="ICU","ICU"&amp;TEXT(COUNTIF($AB$2:AB108,"ICU"),"000"),"N/A"))))</f>
        <v>PR011</v>
      </c>
      <c r="AD108" t="str">
        <f t="shared" ca="1" si="12"/>
        <v>Occupied</v>
      </c>
      <c r="AE108" s="2" t="str">
        <f t="shared" ca="1" si="15"/>
        <v>Walk-in</v>
      </c>
    </row>
    <row r="109" spans="1:31" x14ac:dyDescent="0.3">
      <c r="A109" t="s">
        <v>253</v>
      </c>
      <c r="B109" t="s">
        <v>184</v>
      </c>
      <c r="C109" t="s">
        <v>32</v>
      </c>
      <c r="D109">
        <v>27</v>
      </c>
      <c r="E109" t="str" cm="1">
        <f t="array" aca="1" ref="E109" ca="1">_xlfn.IFS(
H109="Cardiology",CHOOSE(RANDBETWEEN(1,6),"Hypertension","Arrhythmia","Angina","Heart Failure","Chest Pain","Coronary Artery Disease"),
H109="General Medicine",CHOOSE(RANDBETWEEN(1,6),"Viral Fever","Influenza","Diabetes","Gastritis","Typhoid","Food Poisoning"),
H109="Orthopedics",CHOOSE(RANDBETWEEN(1,6),"Fracture","Arthritis","Back Pain","Joint Pain","Knee Injury","Shoulder Dislocation"),
H109="Neurology",CHOOSE(RANDBETWEEN(1,6),"Migraine","Stroke","Epilepsy","Vertigo","Parkinson's Disease","Peripheral Neuropathy"),
H109="Pediatrics",CHOOSE(RANDBETWEEN(1,6),"Common Cold","Asthma","Pneumonia","Ear Infection","Viral Fever","Stomach Infection"),
H109="Dermatology",CHOOSE(RANDBETWEEN(1,6),"Acne","Eczema","Psoriasis","Fungal Infection","Heat Rash","Contact Dermatitis"),
H109="ENT",CHOOSE(RANDBETWEEN(1,6),"Sinusitis","Tonsillitis","Ear Infection","Throat Infection","Allergic Rhinitis","Otitis Media"),
H109="Gynecology",CHOOSE(RANDBETWEEN(1,6),"PCOS","UTI","Pregnancy Checkup","Menstrual Disorder","Ovarian Cyst","Endometriosis")
)</f>
        <v>Fungal Infection</v>
      </c>
      <c r="F109" t="str" cm="1">
        <f t="array" ref="F109">_xlfn.SWITCH(K109,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09" t="s">
        <v>63</v>
      </c>
      <c r="H109" t="s">
        <v>58</v>
      </c>
      <c r="I109" t="s">
        <v>59</v>
      </c>
      <c r="J109" s="1">
        <v>45818</v>
      </c>
      <c r="K109" t="str">
        <f t="shared" si="11"/>
        <v>June</v>
      </c>
      <c r="L109">
        <f t="shared" si="13"/>
        <v>6</v>
      </c>
      <c r="M109" t="s">
        <v>26</v>
      </c>
      <c r="N109" t="s">
        <v>27</v>
      </c>
      <c r="O109">
        <v>900</v>
      </c>
      <c r="P109">
        <v>600</v>
      </c>
      <c r="Q109">
        <v>500</v>
      </c>
      <c r="R109">
        <v>0</v>
      </c>
      <c r="S109" t="s">
        <v>28</v>
      </c>
      <c r="T109" t="s">
        <v>44</v>
      </c>
      <c r="U109">
        <v>2000</v>
      </c>
      <c r="V109">
        <v>0</v>
      </c>
      <c r="W109">
        <v>4.7</v>
      </c>
      <c r="X109" t="s">
        <v>466</v>
      </c>
      <c r="Y109" t="s">
        <v>667</v>
      </c>
      <c r="Z109" s="1">
        <v>45818</v>
      </c>
      <c r="AA109" s="1">
        <f>Table1[[#This Row],[Admission_Date]]+Table1[[#This Row],[Length_of_Stay]]</f>
        <v>45818</v>
      </c>
      <c r="AB109" t="str">
        <f t="shared" ca="1" si="14"/>
        <v>N/A</v>
      </c>
      <c r="AC109" t="str">
        <f ca="1">IF(AB109="General Ward","GW"&amp;TEXT(COUNTIF($AB$2:AB109,"General Ward"),"000"),IF(AB109="Semi Private","SP"&amp;TEXT(COUNTIF($AB$2:AB109,"Semi Private"),"000"),IF(AB109="Private Room","PR"&amp;TEXT(COUNTIF($AB$2:AB109,"Private Room"),"000"),IF(AB109="ICU","ICU"&amp;TEXT(COUNTIF($AB$2:AB109,"ICU"),"000"),"N/A"))))</f>
        <v>N/A</v>
      </c>
      <c r="AD109" t="str">
        <f t="shared" ca="1" si="12"/>
        <v>Not Admitted</v>
      </c>
      <c r="AE109" s="2" t="str">
        <f t="shared" ca="1" si="15"/>
        <v>N/A</v>
      </c>
    </row>
    <row r="110" spans="1:31" x14ac:dyDescent="0.3">
      <c r="A110" t="s">
        <v>254</v>
      </c>
      <c r="B110" t="s">
        <v>255</v>
      </c>
      <c r="C110" t="s">
        <v>22</v>
      </c>
      <c r="D110">
        <v>49</v>
      </c>
      <c r="E110" t="str" cm="1">
        <f t="array" aca="1" ref="E110" ca="1">_xlfn.IFS(
H110="Cardiology",CHOOSE(RANDBETWEEN(1,6),"Hypertension","Arrhythmia","Angina","Heart Failure","Chest Pain","Coronary Artery Disease"),
H110="General Medicine",CHOOSE(RANDBETWEEN(1,6),"Viral Fever","Influenza","Diabetes","Gastritis","Typhoid","Food Poisoning"),
H110="Orthopedics",CHOOSE(RANDBETWEEN(1,6),"Fracture","Arthritis","Back Pain","Joint Pain","Knee Injury","Shoulder Dislocation"),
H110="Neurology",CHOOSE(RANDBETWEEN(1,6),"Migraine","Stroke","Epilepsy","Vertigo","Parkinson's Disease","Peripheral Neuropathy"),
H110="Pediatrics",CHOOSE(RANDBETWEEN(1,6),"Common Cold","Asthma","Pneumonia","Ear Infection","Viral Fever","Stomach Infection"),
H110="Dermatology",CHOOSE(RANDBETWEEN(1,6),"Acne","Eczema","Psoriasis","Fungal Infection","Heat Rash","Contact Dermatitis"),
H110="ENT",CHOOSE(RANDBETWEEN(1,6),"Sinusitis","Tonsillitis","Ear Infection","Throat Infection","Allergic Rhinitis","Otitis Media"),
H110="Gynecology",CHOOSE(RANDBETWEEN(1,6),"PCOS","UTI","Pregnancy Checkup","Menstrual Disorder","Ovarian Cyst","Endometriosis")
)</f>
        <v>Migraine</v>
      </c>
      <c r="F110" t="str" cm="1">
        <f t="array" ref="F110">_xlfn.SWITCH(K110,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10" t="s">
        <v>77</v>
      </c>
      <c r="H110" t="s">
        <v>54</v>
      </c>
      <c r="I110" t="s">
        <v>160</v>
      </c>
      <c r="J110" s="1">
        <v>45819</v>
      </c>
      <c r="K110" t="str">
        <f t="shared" si="11"/>
        <v>June</v>
      </c>
      <c r="L110">
        <f t="shared" si="13"/>
        <v>6</v>
      </c>
      <c r="M110" t="s">
        <v>26</v>
      </c>
      <c r="N110" t="s">
        <v>36</v>
      </c>
      <c r="O110">
        <v>2100</v>
      </c>
      <c r="P110">
        <v>8500</v>
      </c>
      <c r="Q110">
        <v>4200</v>
      </c>
      <c r="R110">
        <v>25000</v>
      </c>
      <c r="S110" t="s">
        <v>37</v>
      </c>
      <c r="T110" t="s">
        <v>15</v>
      </c>
      <c r="U110">
        <v>39800</v>
      </c>
      <c r="V110">
        <v>6</v>
      </c>
      <c r="W110">
        <v>4.9000000000000004</v>
      </c>
      <c r="X110" t="s">
        <v>467</v>
      </c>
      <c r="Y110" t="s">
        <v>668</v>
      </c>
      <c r="Z110" s="1">
        <v>45819</v>
      </c>
      <c r="AA110" s="1">
        <f>Table1[[#This Row],[Admission_Date]]+Table1[[#This Row],[Length_of_Stay]]</f>
        <v>45825</v>
      </c>
      <c r="AB110" t="str">
        <f t="shared" ca="1" si="14"/>
        <v>ICU</v>
      </c>
      <c r="AC110" t="str">
        <f ca="1">IF(AB110="General Ward","GW"&amp;TEXT(COUNTIF($AB$2:AB110,"General Ward"),"000"),IF(AB110="Semi Private","SP"&amp;TEXT(COUNTIF($AB$2:AB110,"Semi Private"),"000"),IF(AB110="Private Room","PR"&amp;TEXT(COUNTIF($AB$2:AB110,"Private Room"),"000"),IF(AB110="ICU","ICU"&amp;TEXT(COUNTIF($AB$2:AB110,"ICU"),"000"),"N/A"))))</f>
        <v>ICU007</v>
      </c>
      <c r="AD110" t="str">
        <f t="shared" ca="1" si="12"/>
        <v>Occupied</v>
      </c>
      <c r="AE110" s="2" t="str">
        <f t="shared" ca="1" si="15"/>
        <v>Scheduled</v>
      </c>
    </row>
    <row r="111" spans="1:31" x14ac:dyDescent="0.3">
      <c r="A111" t="s">
        <v>256</v>
      </c>
      <c r="B111" t="s">
        <v>150</v>
      </c>
      <c r="C111" t="s">
        <v>32</v>
      </c>
      <c r="D111">
        <v>33</v>
      </c>
      <c r="E111" t="str" cm="1">
        <f t="array" aca="1" ref="E111" ca="1">_xlfn.IFS(
H111="Cardiology",CHOOSE(RANDBETWEEN(1,6),"Hypertension","Arrhythmia","Angina","Heart Failure","Chest Pain","Coronary Artery Disease"),
H111="General Medicine",CHOOSE(RANDBETWEEN(1,6),"Viral Fever","Influenza","Diabetes","Gastritis","Typhoid","Food Poisoning"),
H111="Orthopedics",CHOOSE(RANDBETWEEN(1,6),"Fracture","Arthritis","Back Pain","Joint Pain","Knee Injury","Shoulder Dislocation"),
H111="Neurology",CHOOSE(RANDBETWEEN(1,6),"Migraine","Stroke","Epilepsy","Vertigo","Parkinson's Disease","Peripheral Neuropathy"),
H111="Pediatrics",CHOOSE(RANDBETWEEN(1,6),"Common Cold","Asthma","Pneumonia","Ear Infection","Viral Fever","Stomach Infection"),
H111="Dermatology",CHOOSE(RANDBETWEEN(1,6),"Acne","Eczema","Psoriasis","Fungal Infection","Heat Rash","Contact Dermatitis"),
H111="ENT",CHOOSE(RANDBETWEEN(1,6),"Sinusitis","Tonsillitis","Ear Infection","Throat Infection","Allergic Rhinitis","Otitis Media"),
H111="Gynecology",CHOOSE(RANDBETWEEN(1,6),"PCOS","UTI","Pregnancy Checkup","Menstrual Disorder","Ovarian Cyst","Endometriosis")
)</f>
        <v>Endometriosis</v>
      </c>
      <c r="F111" t="str" cm="1">
        <f t="array" ref="F111">_xlfn.SWITCH(K111,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11" t="s">
        <v>23</v>
      </c>
      <c r="H111" t="s">
        <v>34</v>
      </c>
      <c r="I111" t="s">
        <v>35</v>
      </c>
      <c r="J111" s="1">
        <v>45820</v>
      </c>
      <c r="K111" t="str">
        <f t="shared" si="11"/>
        <v>June</v>
      </c>
      <c r="L111">
        <f t="shared" si="13"/>
        <v>6</v>
      </c>
      <c r="M111" t="s">
        <v>26</v>
      </c>
      <c r="N111" t="s">
        <v>27</v>
      </c>
      <c r="O111">
        <v>1300</v>
      </c>
      <c r="P111">
        <v>1000</v>
      </c>
      <c r="Q111">
        <v>900</v>
      </c>
      <c r="R111">
        <v>0</v>
      </c>
      <c r="S111" t="s">
        <v>28</v>
      </c>
      <c r="T111" t="s">
        <v>29</v>
      </c>
      <c r="U111">
        <v>3200</v>
      </c>
      <c r="V111">
        <v>0</v>
      </c>
      <c r="W111">
        <v>4.8</v>
      </c>
      <c r="X111" t="s">
        <v>468</v>
      </c>
      <c r="Y111" t="s">
        <v>669</v>
      </c>
      <c r="Z111" s="1">
        <v>45820</v>
      </c>
      <c r="AA111" s="1">
        <f>Table1[[#This Row],[Admission_Date]]+Table1[[#This Row],[Length_of_Stay]]</f>
        <v>45820</v>
      </c>
      <c r="AB111" t="str">
        <f t="shared" ca="1" si="14"/>
        <v>N/A</v>
      </c>
      <c r="AC111" t="str">
        <f ca="1">IF(AB111="General Ward","GW"&amp;TEXT(COUNTIF($AB$2:AB111,"General Ward"),"000"),IF(AB111="Semi Private","SP"&amp;TEXT(COUNTIF($AB$2:AB111,"Semi Private"),"000"),IF(AB111="Private Room","PR"&amp;TEXT(COUNTIF($AB$2:AB111,"Private Room"),"000"),IF(AB111="ICU","ICU"&amp;TEXT(COUNTIF($AB$2:AB111,"ICU"),"000"),"N/A"))))</f>
        <v>N/A</v>
      </c>
      <c r="AD111" t="str">
        <f t="shared" ca="1" si="12"/>
        <v>Not Admitted</v>
      </c>
      <c r="AE111" s="2" t="str">
        <f t="shared" ca="1" si="15"/>
        <v>N/A</v>
      </c>
    </row>
    <row r="112" spans="1:31" x14ac:dyDescent="0.3">
      <c r="A112" t="s">
        <v>257</v>
      </c>
      <c r="B112" t="s">
        <v>39</v>
      </c>
      <c r="C112" t="s">
        <v>22</v>
      </c>
      <c r="D112">
        <v>29</v>
      </c>
      <c r="E112" t="str" cm="1">
        <f t="array" aca="1" ref="E112" ca="1">_xlfn.IFS(
H112="Cardiology",CHOOSE(RANDBETWEEN(1,6),"Hypertension","Arrhythmia","Angina","Heart Failure","Chest Pain","Coronary Artery Disease"),
H112="General Medicine",CHOOSE(RANDBETWEEN(1,6),"Viral Fever","Influenza","Diabetes","Gastritis","Typhoid","Food Poisoning"),
H112="Orthopedics",CHOOSE(RANDBETWEEN(1,6),"Fracture","Arthritis","Back Pain","Joint Pain","Knee Injury","Shoulder Dislocation"),
H112="Neurology",CHOOSE(RANDBETWEEN(1,6),"Migraine","Stroke","Epilepsy","Vertigo","Parkinson's Disease","Peripheral Neuropathy"),
H112="Pediatrics",CHOOSE(RANDBETWEEN(1,6),"Common Cold","Asthma","Pneumonia","Ear Infection","Viral Fever","Stomach Infection"),
H112="Dermatology",CHOOSE(RANDBETWEEN(1,6),"Acne","Eczema","Psoriasis","Fungal Infection","Heat Rash","Contact Dermatitis"),
H112="ENT",CHOOSE(RANDBETWEEN(1,6),"Sinusitis","Tonsillitis","Ear Infection","Throat Infection","Allergic Rhinitis","Otitis Media"),
H112="Gynecology",CHOOSE(RANDBETWEEN(1,6),"PCOS","UTI","Pregnancy Checkup","Menstrual Disorder","Ovarian Cyst","Endometriosis")
)</f>
        <v>Otitis Media</v>
      </c>
      <c r="F112" t="str" cm="1">
        <f t="array" ref="F112">_xlfn.SWITCH(K112,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12" t="s">
        <v>47</v>
      </c>
      <c r="H112" t="s">
        <v>64</v>
      </c>
      <c r="I112" t="s">
        <v>65</v>
      </c>
      <c r="J112" s="1">
        <v>45821</v>
      </c>
      <c r="K112" t="str">
        <f t="shared" si="11"/>
        <v>June</v>
      </c>
      <c r="L112">
        <f t="shared" si="13"/>
        <v>6</v>
      </c>
      <c r="M112" t="s">
        <v>26</v>
      </c>
      <c r="N112" t="s">
        <v>27</v>
      </c>
      <c r="O112">
        <v>1000</v>
      </c>
      <c r="P112">
        <v>800</v>
      </c>
      <c r="Q112">
        <v>700</v>
      </c>
      <c r="R112">
        <v>0</v>
      </c>
      <c r="S112" t="s">
        <v>28</v>
      </c>
      <c r="T112" t="s">
        <v>50</v>
      </c>
      <c r="U112">
        <v>2500</v>
      </c>
      <c r="V112">
        <v>0</v>
      </c>
      <c r="W112">
        <v>4.5999999999999996</v>
      </c>
      <c r="X112" t="s">
        <v>469</v>
      </c>
      <c r="Y112" t="s">
        <v>670</v>
      </c>
      <c r="Z112" s="1">
        <v>45821</v>
      </c>
      <c r="AA112" s="1">
        <f>Table1[[#This Row],[Admission_Date]]+Table1[[#This Row],[Length_of_Stay]]</f>
        <v>45821</v>
      </c>
      <c r="AB112" t="str">
        <f t="shared" ca="1" si="14"/>
        <v>N/A</v>
      </c>
      <c r="AC112" t="str">
        <f ca="1">IF(AB112="General Ward","GW"&amp;TEXT(COUNTIF($AB$2:AB112,"General Ward"),"000"),IF(AB112="Semi Private","SP"&amp;TEXT(COUNTIF($AB$2:AB112,"Semi Private"),"000"),IF(AB112="Private Room","PR"&amp;TEXT(COUNTIF($AB$2:AB112,"Private Room"),"000"),IF(AB112="ICU","ICU"&amp;TEXT(COUNTIF($AB$2:AB112,"ICU"),"000"),"N/A"))))</f>
        <v>N/A</v>
      </c>
      <c r="AD112" t="str">
        <f t="shared" ca="1" si="12"/>
        <v>Not Admitted</v>
      </c>
      <c r="AE112" s="2" t="str">
        <f t="shared" ca="1" si="15"/>
        <v>N/A</v>
      </c>
    </row>
    <row r="113" spans="1:31" x14ac:dyDescent="0.3">
      <c r="A113" t="s">
        <v>258</v>
      </c>
      <c r="B113" t="s">
        <v>205</v>
      </c>
      <c r="C113" t="s">
        <v>32</v>
      </c>
      <c r="D113">
        <v>55</v>
      </c>
      <c r="E113" t="str" cm="1">
        <f t="array" aca="1" ref="E113" ca="1">_xlfn.IFS(
H113="Cardiology",CHOOSE(RANDBETWEEN(1,6),"Hypertension","Arrhythmia","Angina","Heart Failure","Chest Pain","Coronary Artery Disease"),
H113="General Medicine",CHOOSE(RANDBETWEEN(1,6),"Viral Fever","Influenza","Diabetes","Gastritis","Typhoid","Food Poisoning"),
H113="Orthopedics",CHOOSE(RANDBETWEEN(1,6),"Fracture","Arthritis","Back Pain","Joint Pain","Knee Injury","Shoulder Dislocation"),
H113="Neurology",CHOOSE(RANDBETWEEN(1,6),"Migraine","Stroke","Epilepsy","Vertigo","Parkinson's Disease","Peripheral Neuropathy"),
H113="Pediatrics",CHOOSE(RANDBETWEEN(1,6),"Common Cold","Asthma","Pneumonia","Ear Infection","Viral Fever","Stomach Infection"),
H113="Dermatology",CHOOSE(RANDBETWEEN(1,6),"Acne","Eczema","Psoriasis","Fungal Infection","Heat Rash","Contact Dermatitis"),
H113="ENT",CHOOSE(RANDBETWEEN(1,6),"Sinusitis","Tonsillitis","Ear Infection","Throat Infection","Allergic Rhinitis","Otitis Media"),
H113="Gynecology",CHOOSE(RANDBETWEEN(1,6),"PCOS","UTI","Pregnancy Checkup","Menstrual Disorder","Ovarian Cyst","Endometriosis")
)</f>
        <v>Hypertension</v>
      </c>
      <c r="F113" t="str" cm="1">
        <f t="array" ref="F113">_xlfn.SWITCH(K113,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13" t="s">
        <v>40</v>
      </c>
      <c r="H113" t="s">
        <v>24</v>
      </c>
      <c r="I113" t="s">
        <v>69</v>
      </c>
      <c r="J113" s="1">
        <v>45822</v>
      </c>
      <c r="K113" t="str">
        <f t="shared" si="11"/>
        <v>June</v>
      </c>
      <c r="L113">
        <f t="shared" si="13"/>
        <v>6</v>
      </c>
      <c r="M113" t="s">
        <v>26</v>
      </c>
      <c r="N113" t="s">
        <v>36</v>
      </c>
      <c r="O113">
        <v>1900</v>
      </c>
      <c r="P113">
        <v>7200</v>
      </c>
      <c r="Q113">
        <v>3800</v>
      </c>
      <c r="R113">
        <v>24000</v>
      </c>
      <c r="S113" t="s">
        <v>37</v>
      </c>
      <c r="T113" t="s">
        <v>15</v>
      </c>
      <c r="U113">
        <v>36900</v>
      </c>
      <c r="V113">
        <v>6</v>
      </c>
      <c r="W113">
        <v>4.9000000000000004</v>
      </c>
      <c r="X113" t="s">
        <v>470</v>
      </c>
      <c r="Y113" t="s">
        <v>671</v>
      </c>
      <c r="Z113" s="1">
        <v>45822</v>
      </c>
      <c r="AA113" s="1">
        <f>Table1[[#This Row],[Admission_Date]]+Table1[[#This Row],[Length_of_Stay]]</f>
        <v>45828</v>
      </c>
      <c r="AB113" t="str">
        <f t="shared" ca="1" si="14"/>
        <v>General Ward</v>
      </c>
      <c r="AC113" t="str">
        <f ca="1">IF(AB113="General Ward","GW"&amp;TEXT(COUNTIF($AB$2:AB113,"General Ward"),"000"),IF(AB113="Semi Private","SP"&amp;TEXT(COUNTIF($AB$2:AB113,"Semi Private"),"000"),IF(AB113="Private Room","PR"&amp;TEXT(COUNTIF($AB$2:AB113,"Private Room"),"000"),IF(AB113="ICU","ICU"&amp;TEXT(COUNTIF($AB$2:AB113,"ICU"),"000"),"N/A"))))</f>
        <v>GW004</v>
      </c>
      <c r="AD113" t="str">
        <f t="shared" ca="1" si="12"/>
        <v>Occupied</v>
      </c>
      <c r="AE113" s="2" t="str">
        <f t="shared" ca="1" si="15"/>
        <v>Scheduled</v>
      </c>
    </row>
    <row r="114" spans="1:31" x14ac:dyDescent="0.3">
      <c r="A114" t="s">
        <v>259</v>
      </c>
      <c r="B114" t="s">
        <v>144</v>
      </c>
      <c r="C114" t="s">
        <v>22</v>
      </c>
      <c r="D114">
        <v>37</v>
      </c>
      <c r="E114" t="str" cm="1">
        <f t="array" aca="1" ref="E114" ca="1">_xlfn.IFS(
H114="Cardiology",CHOOSE(RANDBETWEEN(1,6),"Hypertension","Arrhythmia","Angina","Heart Failure","Chest Pain","Coronary Artery Disease"),
H114="General Medicine",CHOOSE(RANDBETWEEN(1,6),"Viral Fever","Influenza","Diabetes","Gastritis","Typhoid","Food Poisoning"),
H114="Orthopedics",CHOOSE(RANDBETWEEN(1,6),"Fracture","Arthritis","Back Pain","Joint Pain","Knee Injury","Shoulder Dislocation"),
H114="Neurology",CHOOSE(RANDBETWEEN(1,6),"Migraine","Stroke","Epilepsy","Vertigo","Parkinson's Disease","Peripheral Neuropathy"),
H114="Pediatrics",CHOOSE(RANDBETWEEN(1,6),"Common Cold","Asthma","Pneumonia","Ear Infection","Viral Fever","Stomach Infection"),
H114="Dermatology",CHOOSE(RANDBETWEEN(1,6),"Acne","Eczema","Psoriasis","Fungal Infection","Heat Rash","Contact Dermatitis"),
H114="ENT",CHOOSE(RANDBETWEEN(1,6),"Sinusitis","Tonsillitis","Ear Infection","Throat Infection","Allergic Rhinitis","Otitis Media"),
H114="Gynecology",CHOOSE(RANDBETWEEN(1,6),"PCOS","UTI","Pregnancy Checkup","Menstrual Disorder","Ovarian Cyst","Endometriosis")
)</f>
        <v>Food Poisoning</v>
      </c>
      <c r="F114" t="str" cm="1">
        <f t="array" ref="F114">_xlfn.SWITCH(K114,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14" t="s">
        <v>33</v>
      </c>
      <c r="H114" t="s">
        <v>73</v>
      </c>
      <c r="I114" t="s">
        <v>90</v>
      </c>
      <c r="J114" s="1">
        <v>45823</v>
      </c>
      <c r="K114" t="str">
        <f t="shared" si="11"/>
        <v>June</v>
      </c>
      <c r="L114">
        <f t="shared" si="13"/>
        <v>6</v>
      </c>
      <c r="M114" t="s">
        <v>26</v>
      </c>
      <c r="N114" t="s">
        <v>27</v>
      </c>
      <c r="O114">
        <v>800</v>
      </c>
      <c r="P114">
        <v>1100</v>
      </c>
      <c r="Q114">
        <v>900</v>
      </c>
      <c r="R114">
        <v>0</v>
      </c>
      <c r="S114" t="s">
        <v>28</v>
      </c>
      <c r="T114" t="s">
        <v>44</v>
      </c>
      <c r="U114">
        <v>2800</v>
      </c>
      <c r="V114">
        <v>0</v>
      </c>
      <c r="W114">
        <v>4.5999999999999996</v>
      </c>
      <c r="X114" t="s">
        <v>471</v>
      </c>
      <c r="Y114" t="s">
        <v>672</v>
      </c>
      <c r="Z114" s="1">
        <v>45823</v>
      </c>
      <c r="AA114" s="1">
        <f>Table1[[#This Row],[Admission_Date]]+Table1[[#This Row],[Length_of_Stay]]</f>
        <v>45823</v>
      </c>
      <c r="AB114" t="str">
        <f t="shared" ca="1" si="14"/>
        <v>N/A</v>
      </c>
      <c r="AC114" t="str">
        <f ca="1">IF(AB114="General Ward","GW"&amp;TEXT(COUNTIF($AB$2:AB114,"General Ward"),"000"),IF(AB114="Semi Private","SP"&amp;TEXT(COUNTIF($AB$2:AB114,"Semi Private"),"000"),IF(AB114="Private Room","PR"&amp;TEXT(COUNTIF($AB$2:AB114,"Private Room"),"000"),IF(AB114="ICU","ICU"&amp;TEXT(COUNTIF($AB$2:AB114,"ICU"),"000"),"N/A"))))</f>
        <v>N/A</v>
      </c>
      <c r="AD114" t="str">
        <f t="shared" ca="1" si="12"/>
        <v>Not Admitted</v>
      </c>
      <c r="AE114" s="2" t="str">
        <f t="shared" ca="1" si="15"/>
        <v>N/A</v>
      </c>
    </row>
    <row r="115" spans="1:31" x14ac:dyDescent="0.3">
      <c r="A115" t="s">
        <v>260</v>
      </c>
      <c r="B115" t="s">
        <v>46</v>
      </c>
      <c r="C115" t="s">
        <v>32</v>
      </c>
      <c r="D115">
        <v>21</v>
      </c>
      <c r="E115" t="str" cm="1">
        <f t="array" aca="1" ref="E115" ca="1">_xlfn.IFS(
H115="Cardiology",CHOOSE(RANDBETWEEN(1,6),"Hypertension","Arrhythmia","Angina","Heart Failure","Chest Pain","Coronary Artery Disease"),
H115="General Medicine",CHOOSE(RANDBETWEEN(1,6),"Viral Fever","Influenza","Diabetes","Gastritis","Typhoid","Food Poisoning"),
H115="Orthopedics",CHOOSE(RANDBETWEEN(1,6),"Fracture","Arthritis","Back Pain","Joint Pain","Knee Injury","Shoulder Dislocation"),
H115="Neurology",CHOOSE(RANDBETWEEN(1,6),"Migraine","Stroke","Epilepsy","Vertigo","Parkinson's Disease","Peripheral Neuropathy"),
H115="Pediatrics",CHOOSE(RANDBETWEEN(1,6),"Common Cold","Asthma","Pneumonia","Ear Infection","Viral Fever","Stomach Infection"),
H115="Dermatology",CHOOSE(RANDBETWEEN(1,6),"Acne","Eczema","Psoriasis","Fungal Infection","Heat Rash","Contact Dermatitis"),
H115="ENT",CHOOSE(RANDBETWEEN(1,6),"Sinusitis","Tonsillitis","Ear Infection","Throat Infection","Allergic Rhinitis","Otitis Media"),
H115="Gynecology",CHOOSE(RANDBETWEEN(1,6),"PCOS","UTI","Pregnancy Checkup","Menstrual Disorder","Ovarian Cyst","Endometriosis")
)</f>
        <v>Viral Fever</v>
      </c>
      <c r="F115" t="str" cm="1">
        <f t="array" ref="F115">_xlfn.SWITCH(K115,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15" t="s">
        <v>53</v>
      </c>
      <c r="H115" t="s">
        <v>48</v>
      </c>
      <c r="I115" t="s">
        <v>156</v>
      </c>
      <c r="J115" s="1">
        <v>45824</v>
      </c>
      <c r="K115" t="str">
        <f t="shared" si="11"/>
        <v>June</v>
      </c>
      <c r="L115">
        <f t="shared" si="13"/>
        <v>6</v>
      </c>
      <c r="M115" t="s">
        <v>26</v>
      </c>
      <c r="N115" t="s">
        <v>27</v>
      </c>
      <c r="O115">
        <v>700</v>
      </c>
      <c r="P115">
        <v>600</v>
      </c>
      <c r="Q115">
        <v>400</v>
      </c>
      <c r="R115">
        <v>0</v>
      </c>
      <c r="S115" t="s">
        <v>28</v>
      </c>
      <c r="T115" t="s">
        <v>29</v>
      </c>
      <c r="U115">
        <v>1700</v>
      </c>
      <c r="V115">
        <v>0</v>
      </c>
      <c r="W115">
        <v>4.8</v>
      </c>
      <c r="X115" t="s">
        <v>472</v>
      </c>
      <c r="Y115" t="s">
        <v>673</v>
      </c>
      <c r="Z115" s="1">
        <v>45824</v>
      </c>
      <c r="AA115" s="1">
        <f>Table1[[#This Row],[Admission_Date]]+Table1[[#This Row],[Length_of_Stay]]</f>
        <v>45824</v>
      </c>
      <c r="AB115" t="str">
        <f t="shared" ca="1" si="14"/>
        <v>N/A</v>
      </c>
      <c r="AC115" t="str">
        <f ca="1">IF(AB115="General Ward","GW"&amp;TEXT(COUNTIF($AB$2:AB115,"General Ward"),"000"),IF(AB115="Semi Private","SP"&amp;TEXT(COUNTIF($AB$2:AB115,"Semi Private"),"000"),IF(AB115="Private Room","PR"&amp;TEXT(COUNTIF($AB$2:AB115,"Private Room"),"000"),IF(AB115="ICU","ICU"&amp;TEXT(COUNTIF($AB$2:AB115,"ICU"),"000"),"N/A"))))</f>
        <v>N/A</v>
      </c>
      <c r="AD115" t="str">
        <f t="shared" ca="1" si="12"/>
        <v>Not Admitted</v>
      </c>
      <c r="AE115" s="2" t="str">
        <f t="shared" ca="1" si="15"/>
        <v>N/A</v>
      </c>
    </row>
    <row r="116" spans="1:31" x14ac:dyDescent="0.3">
      <c r="A116" t="s">
        <v>261</v>
      </c>
      <c r="B116" t="s">
        <v>242</v>
      </c>
      <c r="C116" t="s">
        <v>22</v>
      </c>
      <c r="D116">
        <v>62</v>
      </c>
      <c r="E116" t="str" cm="1">
        <f t="array" aca="1" ref="E116" ca="1">_xlfn.IFS(
H116="Cardiology",CHOOSE(RANDBETWEEN(1,6),"Hypertension","Arrhythmia","Angina","Heart Failure","Chest Pain","Coronary Artery Disease"),
H116="General Medicine",CHOOSE(RANDBETWEEN(1,6),"Viral Fever","Influenza","Diabetes","Gastritis","Typhoid","Food Poisoning"),
H116="Orthopedics",CHOOSE(RANDBETWEEN(1,6),"Fracture","Arthritis","Back Pain","Joint Pain","Knee Injury","Shoulder Dislocation"),
H116="Neurology",CHOOSE(RANDBETWEEN(1,6),"Migraine","Stroke","Epilepsy","Vertigo","Parkinson's Disease","Peripheral Neuropathy"),
H116="Pediatrics",CHOOSE(RANDBETWEEN(1,6),"Common Cold","Asthma","Pneumonia","Ear Infection","Viral Fever","Stomach Infection"),
H116="Dermatology",CHOOSE(RANDBETWEEN(1,6),"Acne","Eczema","Psoriasis","Fungal Infection","Heat Rash","Contact Dermatitis"),
H116="ENT",CHOOSE(RANDBETWEEN(1,6),"Sinusitis","Tonsillitis","Ear Infection","Throat Infection","Allergic Rhinitis","Otitis Media"),
H116="Gynecology",CHOOSE(RANDBETWEEN(1,6),"PCOS","UTI","Pregnancy Checkup","Menstrual Disorder","Ovarian Cyst","Endometriosis")
)</f>
        <v>Fracture</v>
      </c>
      <c r="F116" t="str" cm="1">
        <f t="array" ref="F116">_xlfn.SWITCH(K116,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16" t="s">
        <v>68</v>
      </c>
      <c r="H116" t="s">
        <v>41</v>
      </c>
      <c r="I116" t="s">
        <v>102</v>
      </c>
      <c r="J116" s="1">
        <v>45825</v>
      </c>
      <c r="K116" t="str">
        <f t="shared" si="11"/>
        <v>June</v>
      </c>
      <c r="L116">
        <f t="shared" si="13"/>
        <v>6</v>
      </c>
      <c r="M116" t="s">
        <v>26</v>
      </c>
      <c r="N116" t="s">
        <v>36</v>
      </c>
      <c r="O116">
        <v>1800</v>
      </c>
      <c r="P116">
        <v>6000</v>
      </c>
      <c r="Q116">
        <v>3500</v>
      </c>
      <c r="R116">
        <v>19000</v>
      </c>
      <c r="S116" t="s">
        <v>37</v>
      </c>
      <c r="T116" t="s">
        <v>15</v>
      </c>
      <c r="U116">
        <v>30300</v>
      </c>
      <c r="V116">
        <v>5</v>
      </c>
      <c r="W116">
        <v>4.8</v>
      </c>
      <c r="X116" t="s">
        <v>473</v>
      </c>
      <c r="Y116" t="s">
        <v>674</v>
      </c>
      <c r="Z116" s="1">
        <v>45825</v>
      </c>
      <c r="AA116" s="1">
        <f>Table1[[#This Row],[Admission_Date]]+Table1[[#This Row],[Length_of_Stay]]</f>
        <v>45830</v>
      </c>
      <c r="AB116" t="str">
        <f t="shared" ca="1" si="14"/>
        <v>Semi Private</v>
      </c>
      <c r="AC116" t="str">
        <f ca="1">IF(AB116="General Ward","GW"&amp;TEXT(COUNTIF($AB$2:AB116,"General Ward"),"000"),IF(AB116="Semi Private","SP"&amp;TEXT(COUNTIF($AB$2:AB116,"Semi Private"),"000"),IF(AB116="Private Room","PR"&amp;TEXT(COUNTIF($AB$2:AB116,"Private Room"),"000"),IF(AB116="ICU","ICU"&amp;TEXT(COUNTIF($AB$2:AB116,"ICU"),"000"),"N/A"))))</f>
        <v>SP013</v>
      </c>
      <c r="AD116" t="str">
        <f t="shared" ca="1" si="12"/>
        <v>Available</v>
      </c>
      <c r="AE116" s="2" t="str">
        <f t="shared" ca="1" si="15"/>
        <v>Emergency</v>
      </c>
    </row>
    <row r="117" spans="1:31" x14ac:dyDescent="0.3">
      <c r="A117" t="s">
        <v>262</v>
      </c>
      <c r="B117" t="s">
        <v>164</v>
      </c>
      <c r="C117" t="s">
        <v>32</v>
      </c>
      <c r="D117">
        <v>30</v>
      </c>
      <c r="E117" t="str" cm="1">
        <f t="array" aca="1" ref="E117" ca="1">_xlfn.IFS(
H117="Cardiology",CHOOSE(RANDBETWEEN(1,6),"Hypertension","Arrhythmia","Angina","Heart Failure","Chest Pain","Coronary Artery Disease"),
H117="General Medicine",CHOOSE(RANDBETWEEN(1,6),"Viral Fever","Influenza","Diabetes","Gastritis","Typhoid","Food Poisoning"),
H117="Orthopedics",CHOOSE(RANDBETWEEN(1,6),"Fracture","Arthritis","Back Pain","Joint Pain","Knee Injury","Shoulder Dislocation"),
H117="Neurology",CHOOSE(RANDBETWEEN(1,6),"Migraine","Stroke","Epilepsy","Vertigo","Parkinson's Disease","Peripheral Neuropathy"),
H117="Pediatrics",CHOOSE(RANDBETWEEN(1,6),"Common Cold","Asthma","Pneumonia","Ear Infection","Viral Fever","Stomach Infection"),
H117="Dermatology",CHOOSE(RANDBETWEEN(1,6),"Acne","Eczema","Psoriasis","Fungal Infection","Heat Rash","Contact Dermatitis"),
H117="ENT",CHOOSE(RANDBETWEEN(1,6),"Sinusitis","Tonsillitis","Ear Infection","Throat Infection","Allergic Rhinitis","Otitis Media"),
H117="Gynecology",CHOOSE(RANDBETWEEN(1,6),"PCOS","UTI","Pregnancy Checkup","Menstrual Disorder","Ovarian Cyst","Endometriosis")
)</f>
        <v>Acne</v>
      </c>
      <c r="F117" t="str" cm="1">
        <f t="array" ref="F117">_xlfn.SWITCH(K117,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17" t="s">
        <v>72</v>
      </c>
      <c r="H117" t="s">
        <v>58</v>
      </c>
      <c r="I117" t="s">
        <v>84</v>
      </c>
      <c r="J117" s="1">
        <v>45826</v>
      </c>
      <c r="K117" t="str">
        <f t="shared" si="11"/>
        <v>June</v>
      </c>
      <c r="L117">
        <f t="shared" si="13"/>
        <v>6</v>
      </c>
      <c r="M117" t="s">
        <v>26</v>
      </c>
      <c r="N117" t="s">
        <v>27</v>
      </c>
      <c r="O117">
        <v>900</v>
      </c>
      <c r="P117">
        <v>700</v>
      </c>
      <c r="Q117">
        <v>600</v>
      </c>
      <c r="R117">
        <v>0</v>
      </c>
      <c r="S117" t="s">
        <v>28</v>
      </c>
      <c r="T117" t="s">
        <v>50</v>
      </c>
      <c r="U117">
        <v>2200</v>
      </c>
      <c r="V117">
        <v>0</v>
      </c>
      <c r="W117">
        <v>4.7</v>
      </c>
      <c r="X117" t="s">
        <v>474</v>
      </c>
      <c r="Y117" t="s">
        <v>675</v>
      </c>
      <c r="Z117" s="1">
        <v>45826</v>
      </c>
      <c r="AA117" s="1">
        <f>Table1[[#This Row],[Admission_Date]]+Table1[[#This Row],[Length_of_Stay]]</f>
        <v>45826</v>
      </c>
      <c r="AB117" t="str">
        <f t="shared" ca="1" si="14"/>
        <v>N/A</v>
      </c>
      <c r="AC117" t="str">
        <f ca="1">IF(AB117="General Ward","GW"&amp;TEXT(COUNTIF($AB$2:AB117,"General Ward"),"000"),IF(AB117="Semi Private","SP"&amp;TEXT(COUNTIF($AB$2:AB117,"Semi Private"),"000"),IF(AB117="Private Room","PR"&amp;TEXT(COUNTIF($AB$2:AB117,"Private Room"),"000"),IF(AB117="ICU","ICU"&amp;TEXT(COUNTIF($AB$2:AB117,"ICU"),"000"),"N/A"))))</f>
        <v>N/A</v>
      </c>
      <c r="AD117" t="str">
        <f t="shared" ca="1" si="12"/>
        <v>Not Admitted</v>
      </c>
      <c r="AE117" s="2" t="str">
        <f t="shared" ca="1" si="15"/>
        <v>N/A</v>
      </c>
    </row>
    <row r="118" spans="1:31" x14ac:dyDescent="0.3">
      <c r="A118" t="s">
        <v>263</v>
      </c>
      <c r="B118" t="s">
        <v>86</v>
      </c>
      <c r="C118" t="s">
        <v>22</v>
      </c>
      <c r="D118">
        <v>46</v>
      </c>
      <c r="E118" t="str" cm="1">
        <f t="array" aca="1" ref="E118" ca="1">_xlfn.IFS(
H118="Cardiology",CHOOSE(RANDBETWEEN(1,6),"Hypertension","Arrhythmia","Angina","Heart Failure","Chest Pain","Coronary Artery Disease"),
H118="General Medicine",CHOOSE(RANDBETWEEN(1,6),"Viral Fever","Influenza","Diabetes","Gastritis","Typhoid","Food Poisoning"),
H118="Orthopedics",CHOOSE(RANDBETWEEN(1,6),"Fracture","Arthritis","Back Pain","Joint Pain","Knee Injury","Shoulder Dislocation"),
H118="Neurology",CHOOSE(RANDBETWEEN(1,6),"Migraine","Stroke","Epilepsy","Vertigo","Parkinson's Disease","Peripheral Neuropathy"),
H118="Pediatrics",CHOOSE(RANDBETWEEN(1,6),"Common Cold","Asthma","Pneumonia","Ear Infection","Viral Fever","Stomach Infection"),
H118="Dermatology",CHOOSE(RANDBETWEEN(1,6),"Acne","Eczema","Psoriasis","Fungal Infection","Heat Rash","Contact Dermatitis"),
H118="ENT",CHOOSE(RANDBETWEEN(1,6),"Sinusitis","Tonsillitis","Ear Infection","Throat Infection","Allergic Rhinitis","Otitis Media"),
H118="Gynecology",CHOOSE(RANDBETWEEN(1,6),"PCOS","UTI","Pregnancy Checkup","Menstrual Disorder","Ovarian Cyst","Endometriosis")
)</f>
        <v>Otitis Media</v>
      </c>
      <c r="F118" t="str" cm="1">
        <f t="array" ref="F118">_xlfn.SWITCH(K118,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18" t="s">
        <v>63</v>
      </c>
      <c r="H118" t="s">
        <v>64</v>
      </c>
      <c r="I118" t="s">
        <v>99</v>
      </c>
      <c r="J118" s="1">
        <v>45827</v>
      </c>
      <c r="K118" t="str">
        <f t="shared" si="11"/>
        <v>June</v>
      </c>
      <c r="L118">
        <f t="shared" si="13"/>
        <v>6</v>
      </c>
      <c r="M118" t="s">
        <v>26</v>
      </c>
      <c r="N118" t="s">
        <v>27</v>
      </c>
      <c r="O118">
        <v>1000</v>
      </c>
      <c r="P118">
        <v>900</v>
      </c>
      <c r="Q118">
        <v>700</v>
      </c>
      <c r="R118">
        <v>0</v>
      </c>
      <c r="S118" t="s">
        <v>28</v>
      </c>
      <c r="T118" t="s">
        <v>44</v>
      </c>
      <c r="U118">
        <v>2600</v>
      </c>
      <c r="V118">
        <v>0</v>
      </c>
      <c r="W118">
        <v>4.5</v>
      </c>
      <c r="X118" t="s">
        <v>475</v>
      </c>
      <c r="Y118" t="s">
        <v>676</v>
      </c>
      <c r="Z118" s="1">
        <v>45827</v>
      </c>
      <c r="AA118" s="1">
        <f>Table1[[#This Row],[Admission_Date]]+Table1[[#This Row],[Length_of_Stay]]</f>
        <v>45827</v>
      </c>
      <c r="AB118" t="str">
        <f t="shared" ca="1" si="14"/>
        <v>N/A</v>
      </c>
      <c r="AC118" t="str">
        <f ca="1">IF(AB118="General Ward","GW"&amp;TEXT(COUNTIF($AB$2:AB118,"General Ward"),"000"),IF(AB118="Semi Private","SP"&amp;TEXT(COUNTIF($AB$2:AB118,"Semi Private"),"000"),IF(AB118="Private Room","PR"&amp;TEXT(COUNTIF($AB$2:AB118,"Private Room"),"000"),IF(AB118="ICU","ICU"&amp;TEXT(COUNTIF($AB$2:AB118,"ICU"),"000"),"N/A"))))</f>
        <v>N/A</v>
      </c>
      <c r="AD118" t="str">
        <f t="shared" ca="1" si="12"/>
        <v>Not Admitted</v>
      </c>
      <c r="AE118" s="2" t="str">
        <f t="shared" ca="1" si="15"/>
        <v>N/A</v>
      </c>
    </row>
    <row r="119" spans="1:31" x14ac:dyDescent="0.3">
      <c r="A119" t="s">
        <v>264</v>
      </c>
      <c r="B119" t="s">
        <v>95</v>
      </c>
      <c r="C119" t="s">
        <v>32</v>
      </c>
      <c r="D119">
        <v>39</v>
      </c>
      <c r="E119" t="str" cm="1">
        <f t="array" aca="1" ref="E119" ca="1">_xlfn.IFS(
H119="Cardiology",CHOOSE(RANDBETWEEN(1,6),"Hypertension","Arrhythmia","Angina","Heart Failure","Chest Pain","Coronary Artery Disease"),
H119="General Medicine",CHOOSE(RANDBETWEEN(1,6),"Viral Fever","Influenza","Diabetes","Gastritis","Typhoid","Food Poisoning"),
H119="Orthopedics",CHOOSE(RANDBETWEEN(1,6),"Fracture","Arthritis","Back Pain","Joint Pain","Knee Injury","Shoulder Dislocation"),
H119="Neurology",CHOOSE(RANDBETWEEN(1,6),"Migraine","Stroke","Epilepsy","Vertigo","Parkinson's Disease","Peripheral Neuropathy"),
H119="Pediatrics",CHOOSE(RANDBETWEEN(1,6),"Common Cold","Asthma","Pneumonia","Ear Infection","Viral Fever","Stomach Infection"),
H119="Dermatology",CHOOSE(RANDBETWEEN(1,6),"Acne","Eczema","Psoriasis","Fungal Infection","Heat Rash","Contact Dermatitis"),
H119="ENT",CHOOSE(RANDBETWEEN(1,6),"Sinusitis","Tonsillitis","Ear Infection","Throat Infection","Allergic Rhinitis","Otitis Media"),
H119="Gynecology",CHOOSE(RANDBETWEEN(1,6),"PCOS","UTI","Pregnancy Checkup","Menstrual Disorder","Ovarian Cyst","Endometriosis")
)</f>
        <v>Menstrual Disorder</v>
      </c>
      <c r="F119" t="str" cm="1">
        <f t="array" ref="F119">_xlfn.SWITCH(K119,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19" t="s">
        <v>77</v>
      </c>
      <c r="H119" t="s">
        <v>34</v>
      </c>
      <c r="I119" t="s">
        <v>96</v>
      </c>
      <c r="J119" s="1">
        <v>45828</v>
      </c>
      <c r="K119" t="str">
        <f t="shared" si="11"/>
        <v>June</v>
      </c>
      <c r="L119">
        <f t="shared" si="13"/>
        <v>6</v>
      </c>
      <c r="M119" t="s">
        <v>26</v>
      </c>
      <c r="N119" t="s">
        <v>27</v>
      </c>
      <c r="O119">
        <v>1200</v>
      </c>
      <c r="P119">
        <v>1000</v>
      </c>
      <c r="Q119">
        <v>800</v>
      </c>
      <c r="R119">
        <v>0</v>
      </c>
      <c r="S119" t="s">
        <v>28</v>
      </c>
      <c r="T119" t="s">
        <v>29</v>
      </c>
      <c r="U119">
        <v>3000</v>
      </c>
      <c r="V119">
        <v>0</v>
      </c>
      <c r="W119">
        <v>4.8</v>
      </c>
      <c r="X119" t="s">
        <v>476</v>
      </c>
      <c r="Y119" t="s">
        <v>677</v>
      </c>
      <c r="Z119" s="1">
        <v>45828</v>
      </c>
      <c r="AA119" s="1">
        <f>Table1[[#This Row],[Admission_Date]]+Table1[[#This Row],[Length_of_Stay]]</f>
        <v>45828</v>
      </c>
      <c r="AB119" t="str">
        <f t="shared" ca="1" si="14"/>
        <v>N/A</v>
      </c>
      <c r="AC119" t="str">
        <f ca="1">IF(AB119="General Ward","GW"&amp;TEXT(COUNTIF($AB$2:AB119,"General Ward"),"000"),IF(AB119="Semi Private","SP"&amp;TEXT(COUNTIF($AB$2:AB119,"Semi Private"),"000"),IF(AB119="Private Room","PR"&amp;TEXT(COUNTIF($AB$2:AB119,"Private Room"),"000"),IF(AB119="ICU","ICU"&amp;TEXT(COUNTIF($AB$2:AB119,"ICU"),"000"),"N/A"))))</f>
        <v>N/A</v>
      </c>
      <c r="AD119" t="str">
        <f t="shared" ca="1" si="12"/>
        <v>Not Admitted</v>
      </c>
      <c r="AE119" s="2" t="str">
        <f t="shared" ca="1" si="15"/>
        <v>N/A</v>
      </c>
    </row>
    <row r="120" spans="1:31" x14ac:dyDescent="0.3">
      <c r="A120" t="s">
        <v>265</v>
      </c>
      <c r="B120" t="s">
        <v>195</v>
      </c>
      <c r="C120" t="s">
        <v>22</v>
      </c>
      <c r="D120">
        <v>53</v>
      </c>
      <c r="E120" t="str" cm="1">
        <f t="array" aca="1" ref="E120" ca="1">_xlfn.IFS(
H120="Cardiology",CHOOSE(RANDBETWEEN(1,6),"Hypertension","Arrhythmia","Angina","Heart Failure","Chest Pain","Coronary Artery Disease"),
H120="General Medicine",CHOOSE(RANDBETWEEN(1,6),"Viral Fever","Influenza","Diabetes","Gastritis","Typhoid","Food Poisoning"),
H120="Orthopedics",CHOOSE(RANDBETWEEN(1,6),"Fracture","Arthritis","Back Pain","Joint Pain","Knee Injury","Shoulder Dislocation"),
H120="Neurology",CHOOSE(RANDBETWEEN(1,6),"Migraine","Stroke","Epilepsy","Vertigo","Parkinson's Disease","Peripheral Neuropathy"),
H120="Pediatrics",CHOOSE(RANDBETWEEN(1,6),"Common Cold","Asthma","Pneumonia","Ear Infection","Viral Fever","Stomach Infection"),
H120="Dermatology",CHOOSE(RANDBETWEEN(1,6),"Acne","Eczema","Psoriasis","Fungal Infection","Heat Rash","Contact Dermatitis"),
H120="ENT",CHOOSE(RANDBETWEEN(1,6),"Sinusitis","Tonsillitis","Ear Infection","Throat Infection","Allergic Rhinitis","Otitis Media"),
H120="Gynecology",CHOOSE(RANDBETWEEN(1,6),"PCOS","UTI","Pregnancy Checkup","Menstrual Disorder","Ovarian Cyst","Endometriosis")
)</f>
        <v>Coronary Artery Disease</v>
      </c>
      <c r="F120" t="str" cm="1">
        <f t="array" ref="F120">_xlfn.SWITCH(K120,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20" t="s">
        <v>23</v>
      </c>
      <c r="H120" t="s">
        <v>24</v>
      </c>
      <c r="I120" t="s">
        <v>93</v>
      </c>
      <c r="J120" s="1">
        <v>45829</v>
      </c>
      <c r="K120" t="str">
        <f t="shared" si="11"/>
        <v>June</v>
      </c>
      <c r="L120">
        <f t="shared" si="13"/>
        <v>6</v>
      </c>
      <c r="M120" t="s">
        <v>26</v>
      </c>
      <c r="N120" t="s">
        <v>36</v>
      </c>
      <c r="O120">
        <v>2000</v>
      </c>
      <c r="P120">
        <v>7800</v>
      </c>
      <c r="Q120">
        <v>4000</v>
      </c>
      <c r="R120">
        <v>25000</v>
      </c>
      <c r="S120" t="s">
        <v>37</v>
      </c>
      <c r="T120" t="s">
        <v>15</v>
      </c>
      <c r="U120">
        <v>38800</v>
      </c>
      <c r="V120">
        <v>6</v>
      </c>
      <c r="W120">
        <v>4.9000000000000004</v>
      </c>
      <c r="X120" t="s">
        <v>477</v>
      </c>
      <c r="Y120" t="s">
        <v>678</v>
      </c>
      <c r="Z120" s="1">
        <v>45829</v>
      </c>
      <c r="AA120" s="1">
        <f>Table1[[#This Row],[Admission_Date]]+Table1[[#This Row],[Length_of_Stay]]</f>
        <v>45835</v>
      </c>
      <c r="AB120" t="str">
        <f t="shared" ca="1" si="14"/>
        <v>General Ward</v>
      </c>
      <c r="AC120" t="str">
        <f ca="1">IF(AB120="General Ward","GW"&amp;TEXT(COUNTIF($AB$2:AB120,"General Ward"),"000"),IF(AB120="Semi Private","SP"&amp;TEXT(COUNTIF($AB$2:AB120,"Semi Private"),"000"),IF(AB120="Private Room","PR"&amp;TEXT(COUNTIF($AB$2:AB120,"Private Room"),"000"),IF(AB120="ICU","ICU"&amp;TEXT(COUNTIF($AB$2:AB120,"ICU"),"000"),"N/A"))))</f>
        <v>GW005</v>
      </c>
      <c r="AD120" t="str">
        <f t="shared" ca="1" si="12"/>
        <v>Available</v>
      </c>
      <c r="AE120" s="2" t="str">
        <f t="shared" ca="1" si="15"/>
        <v>Emergency</v>
      </c>
    </row>
    <row r="121" spans="1:31" x14ac:dyDescent="0.3">
      <c r="A121" t="s">
        <v>266</v>
      </c>
      <c r="B121" t="s">
        <v>174</v>
      </c>
      <c r="C121" t="s">
        <v>32</v>
      </c>
      <c r="D121">
        <v>34</v>
      </c>
      <c r="E121" t="str" cm="1">
        <f t="array" aca="1" ref="E121" ca="1">_xlfn.IFS(
H121="Cardiology",CHOOSE(RANDBETWEEN(1,6),"Hypertension","Arrhythmia","Angina","Heart Failure","Chest Pain","Coronary Artery Disease"),
H121="General Medicine",CHOOSE(RANDBETWEEN(1,6),"Viral Fever","Influenza","Diabetes","Gastritis","Typhoid","Food Poisoning"),
H121="Orthopedics",CHOOSE(RANDBETWEEN(1,6),"Fracture","Arthritis","Back Pain","Joint Pain","Knee Injury","Shoulder Dislocation"),
H121="Neurology",CHOOSE(RANDBETWEEN(1,6),"Migraine","Stroke","Epilepsy","Vertigo","Parkinson's Disease","Peripheral Neuropathy"),
H121="Pediatrics",CHOOSE(RANDBETWEEN(1,6),"Common Cold","Asthma","Pneumonia","Ear Infection","Viral Fever","Stomach Infection"),
H121="Dermatology",CHOOSE(RANDBETWEEN(1,6),"Acne","Eczema","Psoriasis","Fungal Infection","Heat Rash","Contact Dermatitis"),
H121="ENT",CHOOSE(RANDBETWEEN(1,6),"Sinusitis","Tonsillitis","Ear Infection","Throat Infection","Allergic Rhinitis","Otitis Media"),
H121="Gynecology",CHOOSE(RANDBETWEEN(1,6),"PCOS","UTI","Pregnancy Checkup","Menstrual Disorder","Ovarian Cyst","Endometriosis")
)</f>
        <v>Food Poisoning</v>
      </c>
      <c r="F121" t="str" cm="1">
        <f t="array" ref="F121">_xlfn.SWITCH(K121,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21" t="s">
        <v>47</v>
      </c>
      <c r="H121" t="s">
        <v>73</v>
      </c>
      <c r="I121" t="s">
        <v>105</v>
      </c>
      <c r="J121" s="1">
        <v>45830</v>
      </c>
      <c r="K121" t="str">
        <f t="shared" si="11"/>
        <v>June</v>
      </c>
      <c r="L121">
        <f t="shared" si="13"/>
        <v>6</v>
      </c>
      <c r="M121" t="s">
        <v>26</v>
      </c>
      <c r="N121" t="s">
        <v>27</v>
      </c>
      <c r="O121">
        <v>800</v>
      </c>
      <c r="P121">
        <v>1000</v>
      </c>
      <c r="Q121">
        <v>800</v>
      </c>
      <c r="R121">
        <v>0</v>
      </c>
      <c r="S121" t="s">
        <v>28</v>
      </c>
      <c r="T121" t="s">
        <v>50</v>
      </c>
      <c r="U121">
        <v>2600</v>
      </c>
      <c r="V121">
        <v>0</v>
      </c>
      <c r="W121">
        <v>4.7</v>
      </c>
      <c r="X121" t="s">
        <v>478</v>
      </c>
      <c r="Y121" t="s">
        <v>679</v>
      </c>
      <c r="Z121" s="1">
        <v>45830</v>
      </c>
      <c r="AA121" s="1">
        <f>Table1[[#This Row],[Admission_Date]]+Table1[[#This Row],[Length_of_Stay]]</f>
        <v>45830</v>
      </c>
      <c r="AB121" t="str">
        <f t="shared" ca="1" si="14"/>
        <v>N/A</v>
      </c>
      <c r="AC121" t="str">
        <f ca="1">IF(AB121="General Ward","GW"&amp;TEXT(COUNTIF($AB$2:AB121,"General Ward"),"000"),IF(AB121="Semi Private","SP"&amp;TEXT(COUNTIF($AB$2:AB121,"Semi Private"),"000"),IF(AB121="Private Room","PR"&amp;TEXT(COUNTIF($AB$2:AB121,"Private Room"),"000"),IF(AB121="ICU","ICU"&amp;TEXT(COUNTIF($AB$2:AB121,"ICU"),"000"),"N/A"))))</f>
        <v>N/A</v>
      </c>
      <c r="AD121" t="str">
        <f t="shared" ca="1" si="12"/>
        <v>Not Admitted</v>
      </c>
      <c r="AE121" s="2" t="str">
        <f t="shared" ca="1" si="15"/>
        <v>N/A</v>
      </c>
    </row>
    <row r="122" spans="1:31" x14ac:dyDescent="0.3">
      <c r="A122" t="s">
        <v>267</v>
      </c>
      <c r="B122" t="s">
        <v>268</v>
      </c>
      <c r="C122" t="s">
        <v>22</v>
      </c>
      <c r="D122">
        <v>43</v>
      </c>
      <c r="E122" t="str" cm="1">
        <f t="array" aca="1" ref="E122" ca="1">_xlfn.IFS(
H122="Cardiology",CHOOSE(RANDBETWEEN(1,6),"Hypertension","Arrhythmia","Angina","Heart Failure","Chest Pain","Coronary Artery Disease"),
H122="General Medicine",CHOOSE(RANDBETWEEN(1,6),"Viral Fever","Influenza","Diabetes","Gastritis","Typhoid","Food Poisoning"),
H122="Orthopedics",CHOOSE(RANDBETWEEN(1,6),"Fracture","Arthritis","Back Pain","Joint Pain","Knee Injury","Shoulder Dislocation"),
H122="Neurology",CHOOSE(RANDBETWEEN(1,6),"Migraine","Stroke","Epilepsy","Vertigo","Parkinson's Disease","Peripheral Neuropathy"),
H122="Pediatrics",CHOOSE(RANDBETWEEN(1,6),"Common Cold","Asthma","Pneumonia","Ear Infection","Viral Fever","Stomach Infection"),
H122="Dermatology",CHOOSE(RANDBETWEEN(1,6),"Acne","Eczema","Psoriasis","Fungal Infection","Heat Rash","Contact Dermatitis"),
H122="ENT",CHOOSE(RANDBETWEEN(1,6),"Sinusitis","Tonsillitis","Ear Infection","Throat Infection","Allergic Rhinitis","Otitis Media"),
H122="Gynecology",CHOOSE(RANDBETWEEN(1,6),"PCOS","UTI","Pregnancy Checkup","Menstrual Disorder","Ovarian Cyst","Endometriosis")
)</f>
        <v>Joint Pain</v>
      </c>
      <c r="F122" t="str" cm="1">
        <f t="array" ref="F122">_xlfn.SWITCH(K122,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22" t="s">
        <v>40</v>
      </c>
      <c r="H122" t="s">
        <v>41</v>
      </c>
      <c r="I122" t="s">
        <v>81</v>
      </c>
      <c r="J122" s="1">
        <v>45831</v>
      </c>
      <c r="K122" t="str">
        <f t="shared" si="11"/>
        <v>June</v>
      </c>
      <c r="L122">
        <f t="shared" si="13"/>
        <v>6</v>
      </c>
      <c r="M122" t="s">
        <v>26</v>
      </c>
      <c r="N122" t="s">
        <v>27</v>
      </c>
      <c r="O122">
        <v>1400</v>
      </c>
      <c r="P122">
        <v>1600</v>
      </c>
      <c r="Q122">
        <v>1000</v>
      </c>
      <c r="R122">
        <v>0</v>
      </c>
      <c r="S122" t="s">
        <v>28</v>
      </c>
      <c r="T122" t="s">
        <v>29</v>
      </c>
      <c r="U122">
        <v>4000</v>
      </c>
      <c r="V122">
        <v>0</v>
      </c>
      <c r="W122">
        <v>4.7</v>
      </c>
      <c r="X122" t="s">
        <v>479</v>
      </c>
      <c r="Y122" t="s">
        <v>680</v>
      </c>
      <c r="Z122" s="1">
        <v>45831</v>
      </c>
      <c r="AA122" s="1">
        <f>Table1[[#This Row],[Admission_Date]]+Table1[[#This Row],[Length_of_Stay]]</f>
        <v>45831</v>
      </c>
      <c r="AB122" t="str">
        <f t="shared" ca="1" si="14"/>
        <v>N/A</v>
      </c>
      <c r="AC122" t="str">
        <f ca="1">IF(AB122="General Ward","GW"&amp;TEXT(COUNTIF($AB$2:AB122,"General Ward"),"000"),IF(AB122="Semi Private","SP"&amp;TEXT(COUNTIF($AB$2:AB122,"Semi Private"),"000"),IF(AB122="Private Room","PR"&amp;TEXT(COUNTIF($AB$2:AB122,"Private Room"),"000"),IF(AB122="ICU","ICU"&amp;TEXT(COUNTIF($AB$2:AB122,"ICU"),"000"),"N/A"))))</f>
        <v>N/A</v>
      </c>
      <c r="AD122" t="str">
        <f t="shared" ca="1" si="12"/>
        <v>Not Admitted</v>
      </c>
      <c r="AE122" s="2" t="str">
        <f t="shared" ca="1" si="15"/>
        <v>N/A</v>
      </c>
    </row>
    <row r="123" spans="1:31" x14ac:dyDescent="0.3">
      <c r="A123" t="s">
        <v>269</v>
      </c>
      <c r="B123" t="s">
        <v>114</v>
      </c>
      <c r="C123" t="s">
        <v>32</v>
      </c>
      <c r="D123">
        <v>28</v>
      </c>
      <c r="E123" t="str" cm="1">
        <f t="array" aca="1" ref="E123" ca="1">_xlfn.IFS(
H123="Cardiology",CHOOSE(RANDBETWEEN(1,6),"Hypertension","Arrhythmia","Angina","Heart Failure","Chest Pain","Coronary Artery Disease"),
H123="General Medicine",CHOOSE(RANDBETWEEN(1,6),"Viral Fever","Influenza","Diabetes","Gastritis","Typhoid","Food Poisoning"),
H123="Orthopedics",CHOOSE(RANDBETWEEN(1,6),"Fracture","Arthritis","Back Pain","Joint Pain","Knee Injury","Shoulder Dislocation"),
H123="Neurology",CHOOSE(RANDBETWEEN(1,6),"Migraine","Stroke","Epilepsy","Vertigo","Parkinson's Disease","Peripheral Neuropathy"),
H123="Pediatrics",CHOOSE(RANDBETWEEN(1,6),"Common Cold","Asthma","Pneumonia","Ear Infection","Viral Fever","Stomach Infection"),
H123="Dermatology",CHOOSE(RANDBETWEEN(1,6),"Acne","Eczema","Psoriasis","Fungal Infection","Heat Rash","Contact Dermatitis"),
H123="ENT",CHOOSE(RANDBETWEEN(1,6),"Sinusitis","Tonsillitis","Ear Infection","Throat Infection","Allergic Rhinitis","Otitis Media"),
H123="Gynecology",CHOOSE(RANDBETWEEN(1,6),"PCOS","UTI","Pregnancy Checkup","Menstrual Disorder","Ovarian Cyst","Endometriosis")
)</f>
        <v>Psoriasis</v>
      </c>
      <c r="F123" t="str" cm="1">
        <f t="array" ref="F123">_xlfn.SWITCH(K123,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23" t="s">
        <v>33</v>
      </c>
      <c r="H123" t="s">
        <v>58</v>
      </c>
      <c r="I123" t="s">
        <v>59</v>
      </c>
      <c r="J123" s="1">
        <v>45832</v>
      </c>
      <c r="K123" t="str">
        <f t="shared" si="11"/>
        <v>June</v>
      </c>
      <c r="L123">
        <f t="shared" si="13"/>
        <v>6</v>
      </c>
      <c r="M123" t="s">
        <v>26</v>
      </c>
      <c r="N123" t="s">
        <v>27</v>
      </c>
      <c r="O123">
        <v>900</v>
      </c>
      <c r="P123">
        <v>600</v>
      </c>
      <c r="Q123">
        <v>500</v>
      </c>
      <c r="R123">
        <v>0</v>
      </c>
      <c r="S123" t="s">
        <v>28</v>
      </c>
      <c r="T123" t="s">
        <v>50</v>
      </c>
      <c r="U123">
        <v>2000</v>
      </c>
      <c r="V123">
        <v>0</v>
      </c>
      <c r="W123">
        <v>4.8</v>
      </c>
      <c r="X123" t="s">
        <v>480</v>
      </c>
      <c r="Y123" t="s">
        <v>681</v>
      </c>
      <c r="Z123" s="1">
        <v>45832</v>
      </c>
      <c r="AA123" s="1">
        <f>Table1[[#This Row],[Admission_Date]]+Table1[[#This Row],[Length_of_Stay]]</f>
        <v>45832</v>
      </c>
      <c r="AB123" t="str">
        <f t="shared" ca="1" si="14"/>
        <v>N/A</v>
      </c>
      <c r="AC123" t="str">
        <f ca="1">IF(AB123="General Ward","GW"&amp;TEXT(COUNTIF($AB$2:AB123,"General Ward"),"000"),IF(AB123="Semi Private","SP"&amp;TEXT(COUNTIF($AB$2:AB123,"Semi Private"),"000"),IF(AB123="Private Room","PR"&amp;TEXT(COUNTIF($AB$2:AB123,"Private Room"),"000"),IF(AB123="ICU","ICU"&amp;TEXT(COUNTIF($AB$2:AB123,"ICU"),"000"),"N/A"))))</f>
        <v>N/A</v>
      </c>
      <c r="AD123" t="str">
        <f t="shared" ca="1" si="12"/>
        <v>Not Admitted</v>
      </c>
      <c r="AE123" s="2" t="str">
        <f t="shared" ca="1" si="15"/>
        <v>N/A</v>
      </c>
    </row>
    <row r="124" spans="1:31" x14ac:dyDescent="0.3">
      <c r="A124" t="s">
        <v>270</v>
      </c>
      <c r="B124" t="s">
        <v>140</v>
      </c>
      <c r="C124" t="s">
        <v>22</v>
      </c>
      <c r="D124">
        <v>59</v>
      </c>
      <c r="E124" t="str" cm="1">
        <f t="array" aca="1" ref="E124" ca="1">_xlfn.IFS(
H124="Cardiology",CHOOSE(RANDBETWEEN(1,6),"Hypertension","Arrhythmia","Angina","Heart Failure","Chest Pain","Coronary Artery Disease"),
H124="General Medicine",CHOOSE(RANDBETWEEN(1,6),"Viral Fever","Influenza","Diabetes","Gastritis","Typhoid","Food Poisoning"),
H124="Orthopedics",CHOOSE(RANDBETWEEN(1,6),"Fracture","Arthritis","Back Pain","Joint Pain","Knee Injury","Shoulder Dislocation"),
H124="Neurology",CHOOSE(RANDBETWEEN(1,6),"Migraine","Stroke","Epilepsy","Vertigo","Parkinson's Disease","Peripheral Neuropathy"),
H124="Pediatrics",CHOOSE(RANDBETWEEN(1,6),"Common Cold","Asthma","Pneumonia","Ear Infection","Viral Fever","Stomach Infection"),
H124="Dermatology",CHOOSE(RANDBETWEEN(1,6),"Acne","Eczema","Psoriasis","Fungal Infection","Heat Rash","Contact Dermatitis"),
H124="ENT",CHOOSE(RANDBETWEEN(1,6),"Sinusitis","Tonsillitis","Ear Infection","Throat Infection","Allergic Rhinitis","Otitis Media"),
H124="Gynecology",CHOOSE(RANDBETWEEN(1,6),"PCOS","UTI","Pregnancy Checkup","Menstrual Disorder","Ovarian Cyst","Endometriosis")
)</f>
        <v>Vertigo</v>
      </c>
      <c r="F124" t="str" cm="1">
        <f t="array" ref="F124">_xlfn.SWITCH(K124,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24" t="s">
        <v>53</v>
      </c>
      <c r="H124" t="s">
        <v>54</v>
      </c>
      <c r="I124" t="s">
        <v>55</v>
      </c>
      <c r="J124" s="1">
        <v>45833</v>
      </c>
      <c r="K124" t="str">
        <f t="shared" si="11"/>
        <v>June</v>
      </c>
      <c r="L124">
        <f t="shared" si="13"/>
        <v>6</v>
      </c>
      <c r="M124" t="s">
        <v>26</v>
      </c>
      <c r="N124" t="s">
        <v>36</v>
      </c>
      <c r="O124">
        <v>2200</v>
      </c>
      <c r="P124">
        <v>8500</v>
      </c>
      <c r="Q124">
        <v>4200</v>
      </c>
      <c r="R124">
        <v>26000</v>
      </c>
      <c r="S124" t="s">
        <v>37</v>
      </c>
      <c r="T124" t="s">
        <v>15</v>
      </c>
      <c r="U124">
        <v>40900</v>
      </c>
      <c r="V124">
        <v>7</v>
      </c>
      <c r="W124">
        <v>5</v>
      </c>
      <c r="X124" t="s">
        <v>481</v>
      </c>
      <c r="Y124" t="s">
        <v>682</v>
      </c>
      <c r="Z124" s="1">
        <v>45833</v>
      </c>
      <c r="AA124" s="1">
        <f>Table1[[#This Row],[Admission_Date]]+Table1[[#This Row],[Length_of_Stay]]</f>
        <v>45840</v>
      </c>
      <c r="AB124" t="str">
        <f t="shared" ca="1" si="14"/>
        <v>ICU</v>
      </c>
      <c r="AC124" t="str">
        <f ca="1">IF(AB124="General Ward","GW"&amp;TEXT(COUNTIF($AB$2:AB124,"General Ward"),"000"),IF(AB124="Semi Private","SP"&amp;TEXT(COUNTIF($AB$2:AB124,"Semi Private"),"000"),IF(AB124="Private Room","PR"&amp;TEXT(COUNTIF($AB$2:AB124,"Private Room"),"000"),IF(AB124="ICU","ICU"&amp;TEXT(COUNTIF($AB$2:AB124,"ICU"),"000"),"N/A"))))</f>
        <v>ICU008</v>
      </c>
      <c r="AD124" t="str">
        <f t="shared" ca="1" si="12"/>
        <v>Occupied</v>
      </c>
      <c r="AE124" s="2" t="str">
        <f t="shared" ca="1" si="15"/>
        <v>Scheduled</v>
      </c>
    </row>
    <row r="125" spans="1:31" x14ac:dyDescent="0.3">
      <c r="A125" t="s">
        <v>271</v>
      </c>
      <c r="B125" t="s">
        <v>122</v>
      </c>
      <c r="C125" t="s">
        <v>32</v>
      </c>
      <c r="D125">
        <v>16</v>
      </c>
      <c r="E125" t="str" cm="1">
        <f t="array" aca="1" ref="E125" ca="1">_xlfn.IFS(
H125="Cardiology",CHOOSE(RANDBETWEEN(1,6),"Hypertension","Arrhythmia","Angina","Heart Failure","Chest Pain","Coronary Artery Disease"),
H125="General Medicine",CHOOSE(RANDBETWEEN(1,6),"Viral Fever","Influenza","Diabetes","Gastritis","Typhoid","Food Poisoning"),
H125="Orthopedics",CHOOSE(RANDBETWEEN(1,6),"Fracture","Arthritis","Back Pain","Joint Pain","Knee Injury","Shoulder Dislocation"),
H125="Neurology",CHOOSE(RANDBETWEEN(1,6),"Migraine","Stroke","Epilepsy","Vertigo","Parkinson's Disease","Peripheral Neuropathy"),
H125="Pediatrics",CHOOSE(RANDBETWEEN(1,6),"Common Cold","Asthma","Pneumonia","Ear Infection","Viral Fever","Stomach Infection"),
H125="Dermatology",CHOOSE(RANDBETWEEN(1,6),"Acne","Eczema","Psoriasis","Fungal Infection","Heat Rash","Contact Dermatitis"),
H125="ENT",CHOOSE(RANDBETWEEN(1,6),"Sinusitis","Tonsillitis","Ear Infection","Throat Infection","Allergic Rhinitis","Otitis Media"),
H125="Gynecology",CHOOSE(RANDBETWEEN(1,6),"PCOS","UTI","Pregnancy Checkup","Menstrual Disorder","Ovarian Cyst","Endometriosis")
)</f>
        <v>Ear Infection</v>
      </c>
      <c r="F125" t="str" cm="1">
        <f t="array" ref="F125">_xlfn.SWITCH(K125,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25" t="s">
        <v>68</v>
      </c>
      <c r="H125" t="s">
        <v>48</v>
      </c>
      <c r="I125" t="s">
        <v>108</v>
      </c>
      <c r="J125" s="1">
        <v>45834</v>
      </c>
      <c r="K125" t="str">
        <f t="shared" si="11"/>
        <v>June</v>
      </c>
      <c r="L125">
        <f t="shared" si="13"/>
        <v>6</v>
      </c>
      <c r="M125" t="s">
        <v>26</v>
      </c>
      <c r="N125" t="s">
        <v>27</v>
      </c>
      <c r="O125">
        <v>700</v>
      </c>
      <c r="P125">
        <v>500</v>
      </c>
      <c r="Q125">
        <v>400</v>
      </c>
      <c r="R125">
        <v>0</v>
      </c>
      <c r="S125" t="s">
        <v>28</v>
      </c>
      <c r="T125" t="s">
        <v>44</v>
      </c>
      <c r="U125">
        <v>1600</v>
      </c>
      <c r="V125">
        <v>0</v>
      </c>
      <c r="W125">
        <v>4.9000000000000004</v>
      </c>
      <c r="X125" t="s">
        <v>482</v>
      </c>
      <c r="Y125" t="s">
        <v>683</v>
      </c>
      <c r="Z125" s="1">
        <v>45834</v>
      </c>
      <c r="AA125" s="1">
        <f>Table1[[#This Row],[Admission_Date]]+Table1[[#This Row],[Length_of_Stay]]</f>
        <v>45834</v>
      </c>
      <c r="AB125" t="str">
        <f t="shared" ca="1" si="14"/>
        <v>N/A</v>
      </c>
      <c r="AC125" t="str">
        <f ca="1">IF(AB125="General Ward","GW"&amp;TEXT(COUNTIF($AB$2:AB125,"General Ward"),"000"),IF(AB125="Semi Private","SP"&amp;TEXT(COUNTIF($AB$2:AB125,"Semi Private"),"000"),IF(AB125="Private Room","PR"&amp;TEXT(COUNTIF($AB$2:AB125,"Private Room"),"000"),IF(AB125="ICU","ICU"&amp;TEXT(COUNTIF($AB$2:AB125,"ICU"),"000"),"N/A"))))</f>
        <v>N/A</v>
      </c>
      <c r="AD125" t="str">
        <f t="shared" ca="1" si="12"/>
        <v>Not Admitted</v>
      </c>
      <c r="AE125" s="2" t="str">
        <f t="shared" ca="1" si="15"/>
        <v>N/A</v>
      </c>
    </row>
    <row r="126" spans="1:31" x14ac:dyDescent="0.3">
      <c r="A126" t="s">
        <v>272</v>
      </c>
      <c r="B126" t="s">
        <v>128</v>
      </c>
      <c r="C126" t="s">
        <v>22</v>
      </c>
      <c r="D126">
        <v>48</v>
      </c>
      <c r="E126" t="str" cm="1">
        <f t="array" aca="1" ref="E126" ca="1">_xlfn.IFS(
H126="Cardiology",CHOOSE(RANDBETWEEN(1,6),"Hypertension","Arrhythmia","Angina","Heart Failure","Chest Pain","Coronary Artery Disease"),
H126="General Medicine",CHOOSE(RANDBETWEEN(1,6),"Viral Fever","Influenza","Diabetes","Gastritis","Typhoid","Food Poisoning"),
H126="Orthopedics",CHOOSE(RANDBETWEEN(1,6),"Fracture","Arthritis","Back Pain","Joint Pain","Knee Injury","Shoulder Dislocation"),
H126="Neurology",CHOOSE(RANDBETWEEN(1,6),"Migraine","Stroke","Epilepsy","Vertigo","Parkinson's Disease","Peripheral Neuropathy"),
H126="Pediatrics",CHOOSE(RANDBETWEEN(1,6),"Common Cold","Asthma","Pneumonia","Ear Infection","Viral Fever","Stomach Infection"),
H126="Dermatology",CHOOSE(RANDBETWEEN(1,6),"Acne","Eczema","Psoriasis","Fungal Infection","Heat Rash","Contact Dermatitis"),
H126="ENT",CHOOSE(RANDBETWEEN(1,6),"Sinusitis","Tonsillitis","Ear Infection","Throat Infection","Allergic Rhinitis","Otitis Media"),
H126="Gynecology",CHOOSE(RANDBETWEEN(1,6),"PCOS","UTI","Pregnancy Checkup","Menstrual Disorder","Ovarian Cyst","Endometriosis")
)</f>
        <v>Coronary Artery Disease</v>
      </c>
      <c r="F126" t="str" cm="1">
        <f t="array" ref="F126">_xlfn.SWITCH(K126,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26" t="s">
        <v>72</v>
      </c>
      <c r="H126" t="s">
        <v>24</v>
      </c>
      <c r="I126" t="s">
        <v>25</v>
      </c>
      <c r="J126" s="1">
        <v>45835</v>
      </c>
      <c r="K126" t="str">
        <f t="shared" si="11"/>
        <v>June</v>
      </c>
      <c r="L126">
        <f t="shared" si="13"/>
        <v>6</v>
      </c>
      <c r="M126" t="s">
        <v>26</v>
      </c>
      <c r="N126" t="s">
        <v>36</v>
      </c>
      <c r="O126">
        <v>1900</v>
      </c>
      <c r="P126">
        <v>7000</v>
      </c>
      <c r="Q126">
        <v>3500</v>
      </c>
      <c r="R126">
        <v>23000</v>
      </c>
      <c r="S126" t="s">
        <v>37</v>
      </c>
      <c r="T126" t="s">
        <v>15</v>
      </c>
      <c r="U126">
        <v>35400</v>
      </c>
      <c r="V126">
        <v>5</v>
      </c>
      <c r="W126">
        <v>4.9000000000000004</v>
      </c>
      <c r="X126" t="s">
        <v>483</v>
      </c>
      <c r="Y126" t="s">
        <v>684</v>
      </c>
      <c r="Z126" s="1">
        <v>45835</v>
      </c>
      <c r="AA126" s="1">
        <f>Table1[[#This Row],[Admission_Date]]+Table1[[#This Row],[Length_of_Stay]]</f>
        <v>45840</v>
      </c>
      <c r="AB126" t="str">
        <f t="shared" ca="1" si="14"/>
        <v>Private Room</v>
      </c>
      <c r="AC126" t="str">
        <f ca="1">IF(AB126="General Ward","GW"&amp;TEXT(COUNTIF($AB$2:AB126,"General Ward"),"000"),IF(AB126="Semi Private","SP"&amp;TEXT(COUNTIF($AB$2:AB126,"Semi Private"),"000"),IF(AB126="Private Room","PR"&amp;TEXT(COUNTIF($AB$2:AB126,"Private Room"),"000"),IF(AB126="ICU","ICU"&amp;TEXT(COUNTIF($AB$2:AB126,"ICU"),"000"),"N/A"))))</f>
        <v>PR012</v>
      </c>
      <c r="AD126" t="str">
        <f t="shared" ca="1" si="12"/>
        <v>Available</v>
      </c>
      <c r="AE126" s="2" t="str">
        <f t="shared" ca="1" si="15"/>
        <v>Walk-in</v>
      </c>
    </row>
    <row r="127" spans="1:31" x14ac:dyDescent="0.3">
      <c r="A127" t="s">
        <v>273</v>
      </c>
      <c r="B127" t="s">
        <v>67</v>
      </c>
      <c r="C127" t="s">
        <v>32</v>
      </c>
      <c r="D127">
        <v>36</v>
      </c>
      <c r="E127" t="str" cm="1">
        <f t="array" aca="1" ref="E127" ca="1">_xlfn.IFS(
H127="Cardiology",CHOOSE(RANDBETWEEN(1,6),"Hypertension","Arrhythmia","Angina","Heart Failure","Chest Pain","Coronary Artery Disease"),
H127="General Medicine",CHOOSE(RANDBETWEEN(1,6),"Viral Fever","Influenza","Diabetes","Gastritis","Typhoid","Food Poisoning"),
H127="Orthopedics",CHOOSE(RANDBETWEEN(1,6),"Fracture","Arthritis","Back Pain","Joint Pain","Knee Injury","Shoulder Dislocation"),
H127="Neurology",CHOOSE(RANDBETWEEN(1,6),"Migraine","Stroke","Epilepsy","Vertigo","Parkinson's Disease","Peripheral Neuropathy"),
H127="Pediatrics",CHOOSE(RANDBETWEEN(1,6),"Common Cold","Asthma","Pneumonia","Ear Infection","Viral Fever","Stomach Infection"),
H127="Dermatology",CHOOSE(RANDBETWEEN(1,6),"Acne","Eczema","Psoriasis","Fungal Infection","Heat Rash","Contact Dermatitis"),
H127="ENT",CHOOSE(RANDBETWEEN(1,6),"Sinusitis","Tonsillitis","Ear Infection","Throat Infection","Allergic Rhinitis","Otitis Media"),
H127="Gynecology",CHOOSE(RANDBETWEEN(1,6),"PCOS","UTI","Pregnancy Checkup","Menstrual Disorder","Ovarian Cyst","Endometriosis")
)</f>
        <v>Pregnancy Checkup</v>
      </c>
      <c r="F127" t="str" cm="1">
        <f t="array" ref="F127">_xlfn.SWITCH(K127,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27" t="s">
        <v>63</v>
      </c>
      <c r="H127" t="s">
        <v>34</v>
      </c>
      <c r="I127" t="s">
        <v>165</v>
      </c>
      <c r="J127" s="1">
        <v>45836</v>
      </c>
      <c r="K127" t="str">
        <f t="shared" si="11"/>
        <v>June</v>
      </c>
      <c r="L127">
        <f t="shared" si="13"/>
        <v>6</v>
      </c>
      <c r="M127" t="s">
        <v>26</v>
      </c>
      <c r="N127" t="s">
        <v>27</v>
      </c>
      <c r="O127">
        <v>1300</v>
      </c>
      <c r="P127">
        <v>900</v>
      </c>
      <c r="Q127">
        <v>800</v>
      </c>
      <c r="R127">
        <v>0</v>
      </c>
      <c r="S127" t="s">
        <v>28</v>
      </c>
      <c r="T127" t="s">
        <v>29</v>
      </c>
      <c r="U127">
        <v>3000</v>
      </c>
      <c r="V127">
        <v>0</v>
      </c>
      <c r="W127">
        <v>4.8</v>
      </c>
      <c r="X127" t="s">
        <v>484</v>
      </c>
      <c r="Y127" t="s">
        <v>685</v>
      </c>
      <c r="Z127" s="1">
        <v>45836</v>
      </c>
      <c r="AA127" s="1">
        <f>Table1[[#This Row],[Admission_Date]]+Table1[[#This Row],[Length_of_Stay]]</f>
        <v>45836</v>
      </c>
      <c r="AB127" t="str">
        <f t="shared" ca="1" si="14"/>
        <v>N/A</v>
      </c>
      <c r="AC127" t="str">
        <f ca="1">IF(AB127="General Ward","GW"&amp;TEXT(COUNTIF($AB$2:AB127,"General Ward"),"000"),IF(AB127="Semi Private","SP"&amp;TEXT(COUNTIF($AB$2:AB127,"Semi Private"),"000"),IF(AB127="Private Room","PR"&amp;TEXT(COUNTIF($AB$2:AB127,"Private Room"),"000"),IF(AB127="ICU","ICU"&amp;TEXT(COUNTIF($AB$2:AB127,"ICU"),"000"),"N/A"))))</f>
        <v>N/A</v>
      </c>
      <c r="AD127" t="str">
        <f t="shared" ca="1" si="12"/>
        <v>Not Admitted</v>
      </c>
      <c r="AE127" s="2" t="str">
        <f t="shared" ca="1" si="15"/>
        <v>N/A</v>
      </c>
    </row>
    <row r="128" spans="1:31" x14ac:dyDescent="0.3">
      <c r="A128" t="s">
        <v>274</v>
      </c>
      <c r="B128" t="s">
        <v>39</v>
      </c>
      <c r="C128" t="s">
        <v>22</v>
      </c>
      <c r="D128">
        <v>31</v>
      </c>
      <c r="E128" t="str" cm="1">
        <f t="array" aca="1" ref="E128" ca="1">_xlfn.IFS(
H128="Cardiology",CHOOSE(RANDBETWEEN(1,6),"Hypertension","Arrhythmia","Angina","Heart Failure","Chest Pain","Coronary Artery Disease"),
H128="General Medicine",CHOOSE(RANDBETWEEN(1,6),"Viral Fever","Influenza","Diabetes","Gastritis","Typhoid","Food Poisoning"),
H128="Orthopedics",CHOOSE(RANDBETWEEN(1,6),"Fracture","Arthritis","Back Pain","Joint Pain","Knee Injury","Shoulder Dislocation"),
H128="Neurology",CHOOSE(RANDBETWEEN(1,6),"Migraine","Stroke","Epilepsy","Vertigo","Parkinson's Disease","Peripheral Neuropathy"),
H128="Pediatrics",CHOOSE(RANDBETWEEN(1,6),"Common Cold","Asthma","Pneumonia","Ear Infection","Viral Fever","Stomach Infection"),
H128="Dermatology",CHOOSE(RANDBETWEEN(1,6),"Acne","Eczema","Psoriasis","Fungal Infection","Heat Rash","Contact Dermatitis"),
H128="ENT",CHOOSE(RANDBETWEEN(1,6),"Sinusitis","Tonsillitis","Ear Infection","Throat Infection","Allergic Rhinitis","Otitis Media"),
H128="Gynecology",CHOOSE(RANDBETWEEN(1,6),"PCOS","UTI","Pregnancy Checkup","Menstrual Disorder","Ovarian Cyst","Endometriosis")
)</f>
        <v>Otitis Media</v>
      </c>
      <c r="F128" t="str" cm="1">
        <f t="array" ref="F128">_xlfn.SWITCH(K128,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28" t="s">
        <v>77</v>
      </c>
      <c r="H128" t="s">
        <v>64</v>
      </c>
      <c r="I128" t="s">
        <v>65</v>
      </c>
      <c r="J128" s="1">
        <v>45837</v>
      </c>
      <c r="K128" t="str">
        <f t="shared" si="11"/>
        <v>June</v>
      </c>
      <c r="L128">
        <f t="shared" si="13"/>
        <v>6</v>
      </c>
      <c r="M128" t="s">
        <v>26</v>
      </c>
      <c r="N128" t="s">
        <v>27</v>
      </c>
      <c r="O128">
        <v>1000</v>
      </c>
      <c r="P128">
        <v>800</v>
      </c>
      <c r="Q128">
        <v>700</v>
      </c>
      <c r="R128">
        <v>0</v>
      </c>
      <c r="S128" t="s">
        <v>28</v>
      </c>
      <c r="T128" t="s">
        <v>50</v>
      </c>
      <c r="U128">
        <v>2500</v>
      </c>
      <c r="V128">
        <v>0</v>
      </c>
      <c r="W128">
        <v>4.5999999999999996</v>
      </c>
      <c r="X128" t="s">
        <v>485</v>
      </c>
      <c r="Y128" t="s">
        <v>686</v>
      </c>
      <c r="Z128" s="1">
        <v>45837</v>
      </c>
      <c r="AA128" s="1">
        <f>Table1[[#This Row],[Admission_Date]]+Table1[[#This Row],[Length_of_Stay]]</f>
        <v>45837</v>
      </c>
      <c r="AB128" t="str">
        <f t="shared" ca="1" si="14"/>
        <v>N/A</v>
      </c>
      <c r="AC128" t="str">
        <f ca="1">IF(AB128="General Ward","GW"&amp;TEXT(COUNTIF($AB$2:AB128,"General Ward"),"000"),IF(AB128="Semi Private","SP"&amp;TEXT(COUNTIF($AB$2:AB128,"Semi Private"),"000"),IF(AB128="Private Room","PR"&amp;TEXT(COUNTIF($AB$2:AB128,"Private Room"),"000"),IF(AB128="ICU","ICU"&amp;TEXT(COUNTIF($AB$2:AB128,"ICU"),"000"),"N/A"))))</f>
        <v>N/A</v>
      </c>
      <c r="AD128" t="str">
        <f t="shared" ca="1" si="12"/>
        <v>Not Admitted</v>
      </c>
      <c r="AE128" s="2" t="str">
        <f t="shared" ca="1" si="15"/>
        <v>N/A</v>
      </c>
    </row>
    <row r="129" spans="1:31" x14ac:dyDescent="0.3">
      <c r="A129" t="s">
        <v>275</v>
      </c>
      <c r="B129" t="s">
        <v>180</v>
      </c>
      <c r="C129" t="s">
        <v>32</v>
      </c>
      <c r="D129">
        <v>54</v>
      </c>
      <c r="E129" t="str" cm="1">
        <f t="array" aca="1" ref="E129" ca="1">_xlfn.IFS(
H129="Cardiology",CHOOSE(RANDBETWEEN(1,6),"Hypertension","Arrhythmia","Angina","Heart Failure","Chest Pain","Coronary Artery Disease"),
H129="General Medicine",CHOOSE(RANDBETWEEN(1,6),"Viral Fever","Influenza","Diabetes","Gastritis","Typhoid","Food Poisoning"),
H129="Orthopedics",CHOOSE(RANDBETWEEN(1,6),"Fracture","Arthritis","Back Pain","Joint Pain","Knee Injury","Shoulder Dislocation"),
H129="Neurology",CHOOSE(RANDBETWEEN(1,6),"Migraine","Stroke","Epilepsy","Vertigo","Parkinson's Disease","Peripheral Neuropathy"),
H129="Pediatrics",CHOOSE(RANDBETWEEN(1,6),"Common Cold","Asthma","Pneumonia","Ear Infection","Viral Fever","Stomach Infection"),
H129="Dermatology",CHOOSE(RANDBETWEEN(1,6),"Acne","Eczema","Psoriasis","Fungal Infection","Heat Rash","Contact Dermatitis"),
H129="ENT",CHOOSE(RANDBETWEEN(1,6),"Sinusitis","Tonsillitis","Ear Infection","Throat Infection","Allergic Rhinitis","Otitis Media"),
H129="Gynecology",CHOOSE(RANDBETWEEN(1,6),"PCOS","UTI","Pregnancy Checkup","Menstrual Disorder","Ovarian Cyst","Endometriosis")
)</f>
        <v>Viral Fever</v>
      </c>
      <c r="F129" t="str" cm="1">
        <f t="array" ref="F129">_xlfn.SWITCH(K129,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29" t="s">
        <v>23</v>
      </c>
      <c r="H129" t="s">
        <v>73</v>
      </c>
      <c r="I129" t="s">
        <v>74</v>
      </c>
      <c r="J129" s="1">
        <v>45838</v>
      </c>
      <c r="K129" t="str">
        <f t="shared" si="11"/>
        <v>June</v>
      </c>
      <c r="L129">
        <f t="shared" si="13"/>
        <v>6</v>
      </c>
      <c r="M129" t="s">
        <v>26</v>
      </c>
      <c r="N129" t="s">
        <v>36</v>
      </c>
      <c r="O129">
        <v>1800</v>
      </c>
      <c r="P129">
        <v>6000</v>
      </c>
      <c r="Q129">
        <v>3200</v>
      </c>
      <c r="R129">
        <v>21000</v>
      </c>
      <c r="S129" t="s">
        <v>37</v>
      </c>
      <c r="T129" t="s">
        <v>15</v>
      </c>
      <c r="U129">
        <v>32000</v>
      </c>
      <c r="V129">
        <v>5</v>
      </c>
      <c r="W129">
        <v>4.8</v>
      </c>
      <c r="X129" t="s">
        <v>486</v>
      </c>
      <c r="Y129" t="s">
        <v>687</v>
      </c>
      <c r="Z129" s="1">
        <v>45838</v>
      </c>
      <c r="AA129" s="1">
        <f>Table1[[#This Row],[Admission_Date]]+Table1[[#This Row],[Length_of_Stay]]</f>
        <v>45843</v>
      </c>
      <c r="AB129" t="str">
        <f t="shared" ca="1" si="14"/>
        <v>Semi Private</v>
      </c>
      <c r="AC129" t="str">
        <f ca="1">IF(AB129="General Ward","GW"&amp;TEXT(COUNTIF($AB$2:AB129,"General Ward"),"000"),IF(AB129="Semi Private","SP"&amp;TEXT(COUNTIF($AB$2:AB129,"Semi Private"),"000"),IF(AB129="Private Room","PR"&amp;TEXT(COUNTIF($AB$2:AB129,"Private Room"),"000"),IF(AB129="ICU","ICU"&amp;TEXT(COUNTIF($AB$2:AB129,"ICU"),"000"),"N/A"))))</f>
        <v>SP014</v>
      </c>
      <c r="AD129" t="str">
        <f t="shared" ca="1" si="12"/>
        <v>Available</v>
      </c>
      <c r="AE129" s="2" t="str">
        <f t="shared" ca="1" si="15"/>
        <v>Emergency</v>
      </c>
    </row>
    <row r="130" spans="1:31" x14ac:dyDescent="0.3">
      <c r="A130" t="s">
        <v>276</v>
      </c>
      <c r="B130" t="s">
        <v>52</v>
      </c>
      <c r="C130" t="s">
        <v>22</v>
      </c>
      <c r="D130">
        <v>39</v>
      </c>
      <c r="E130" t="str" cm="1">
        <f t="array" aca="1" ref="E130" ca="1">_xlfn.IFS(
H130="Cardiology",CHOOSE(RANDBETWEEN(1,6),"Hypertension","Arrhythmia","Angina","Heart Failure","Chest Pain","Coronary Artery Disease"),
H130="General Medicine",CHOOSE(RANDBETWEEN(1,6),"Viral Fever","Influenza","Diabetes","Gastritis","Typhoid","Food Poisoning"),
H130="Orthopedics",CHOOSE(RANDBETWEEN(1,6),"Fracture","Arthritis","Back Pain","Joint Pain","Knee Injury","Shoulder Dislocation"),
H130="Neurology",CHOOSE(RANDBETWEEN(1,6),"Migraine","Stroke","Epilepsy","Vertigo","Parkinson's Disease","Peripheral Neuropathy"),
H130="Pediatrics",CHOOSE(RANDBETWEEN(1,6),"Common Cold","Asthma","Pneumonia","Ear Infection","Viral Fever","Stomach Infection"),
H130="Dermatology",CHOOSE(RANDBETWEEN(1,6),"Acne","Eczema","Psoriasis","Fungal Infection","Heat Rash","Contact Dermatitis"),
H130="ENT",CHOOSE(RANDBETWEEN(1,6),"Sinusitis","Tonsillitis","Ear Infection","Throat Infection","Allergic Rhinitis","Otitis Media"),
H130="Gynecology",CHOOSE(RANDBETWEEN(1,6),"PCOS","UTI","Pregnancy Checkup","Menstrual Disorder","Ovarian Cyst","Endometriosis")
)</f>
        <v>Eczema</v>
      </c>
      <c r="F130" t="str" cm="1">
        <f t="array" ref="F130">_xlfn.SWITCH(K130,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30" t="s">
        <v>47</v>
      </c>
      <c r="H130" t="s">
        <v>58</v>
      </c>
      <c r="I130" t="s">
        <v>84</v>
      </c>
      <c r="J130" s="1">
        <v>45839</v>
      </c>
      <c r="K130" t="str">
        <f t="shared" si="11"/>
        <v>July</v>
      </c>
      <c r="L130">
        <f t="shared" ref="L130:L161" si="16">MONTH(J130)</f>
        <v>7</v>
      </c>
      <c r="M130" t="s">
        <v>26</v>
      </c>
      <c r="N130" t="s">
        <v>27</v>
      </c>
      <c r="O130">
        <v>900</v>
      </c>
      <c r="P130">
        <v>700</v>
      </c>
      <c r="Q130">
        <v>600</v>
      </c>
      <c r="R130">
        <v>0</v>
      </c>
      <c r="S130" t="s">
        <v>28</v>
      </c>
      <c r="T130" t="s">
        <v>44</v>
      </c>
      <c r="U130">
        <v>2200</v>
      </c>
      <c r="V130">
        <v>0</v>
      </c>
      <c r="W130">
        <v>4.7</v>
      </c>
      <c r="X130" t="s">
        <v>487</v>
      </c>
      <c r="Y130" t="s">
        <v>688</v>
      </c>
      <c r="Z130" s="1">
        <v>45839</v>
      </c>
      <c r="AA130" s="1">
        <f>Table1[[#This Row],[Admission_Date]]+Table1[[#This Row],[Length_of_Stay]]</f>
        <v>45839</v>
      </c>
      <c r="AB130" t="str">
        <f t="shared" ref="AB130:AB161" ca="1" si="17">IF(N130="OP","N/A",CHOOSE(RANDBETWEEN(1,4),"General Ward","Semi Private","Private Room","ICU"))</f>
        <v>N/A</v>
      </c>
      <c r="AC130" t="str">
        <f ca="1">IF(AB130="General Ward","GW"&amp;TEXT(COUNTIF($AB$2:AB130,"General Ward"),"000"),IF(AB130="Semi Private","SP"&amp;TEXT(COUNTIF($AB$2:AB130,"Semi Private"),"000"),IF(AB130="Private Room","PR"&amp;TEXT(COUNTIF($AB$2:AB130,"Private Room"),"000"),IF(AB130="ICU","ICU"&amp;TEXT(COUNTIF($AB$2:AB130,"ICU"),"000"),"N/A"))))</f>
        <v>N/A</v>
      </c>
      <c r="AD130" t="str">
        <f t="shared" ca="1" si="12"/>
        <v>Not Admitted</v>
      </c>
      <c r="AE130" s="2" t="str">
        <f t="shared" ref="AE130:AE161" ca="1" si="18">IF(AB130="N/A","N/A",
IF(RAND()&lt;0.2,"Emergency",
IF(RAND()&lt;0.5,"Scheduled",
IF(RAND()&lt;0.8,"Walk-in","Referral"))))</f>
        <v>N/A</v>
      </c>
    </row>
    <row r="131" spans="1:31" x14ac:dyDescent="0.3">
      <c r="A131" t="s">
        <v>277</v>
      </c>
      <c r="B131" t="s">
        <v>168</v>
      </c>
      <c r="C131" t="s">
        <v>32</v>
      </c>
      <c r="D131">
        <v>25</v>
      </c>
      <c r="E131" t="str" cm="1">
        <f t="array" aca="1" ref="E131" ca="1">_xlfn.IFS(
H131="Cardiology",CHOOSE(RANDBETWEEN(1,6),"Hypertension","Arrhythmia","Angina","Heart Failure","Chest Pain","Coronary Artery Disease"),
H131="General Medicine",CHOOSE(RANDBETWEEN(1,6),"Viral Fever","Influenza","Diabetes","Gastritis","Typhoid","Food Poisoning"),
H131="Orthopedics",CHOOSE(RANDBETWEEN(1,6),"Fracture","Arthritis","Back Pain","Joint Pain","Knee Injury","Shoulder Dislocation"),
H131="Neurology",CHOOSE(RANDBETWEEN(1,6),"Migraine","Stroke","Epilepsy","Vertigo","Parkinson's Disease","Peripheral Neuropathy"),
H131="Pediatrics",CHOOSE(RANDBETWEEN(1,6),"Common Cold","Asthma","Pneumonia","Ear Infection","Viral Fever","Stomach Infection"),
H131="Dermatology",CHOOSE(RANDBETWEEN(1,6),"Acne","Eczema","Psoriasis","Fungal Infection","Heat Rash","Contact Dermatitis"),
H131="ENT",CHOOSE(RANDBETWEEN(1,6),"Sinusitis","Tonsillitis","Ear Infection","Throat Infection","Allergic Rhinitis","Otitis Media"),
H131="Gynecology",CHOOSE(RANDBETWEEN(1,6),"PCOS","UTI","Pregnancy Checkup","Menstrual Disorder","Ovarian Cyst","Endometriosis")
)</f>
        <v>Pregnancy Checkup</v>
      </c>
      <c r="F131" t="str" cm="1">
        <f t="array" ref="F131">_xlfn.SWITCH(K131,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31" t="s">
        <v>40</v>
      </c>
      <c r="H131" t="s">
        <v>34</v>
      </c>
      <c r="I131" t="s">
        <v>35</v>
      </c>
      <c r="J131" s="1">
        <v>45840</v>
      </c>
      <c r="K131" t="str">
        <f t="shared" ref="K131:K194" si="19">TEXT(J131,"MMMM")</f>
        <v>July</v>
      </c>
      <c r="L131">
        <f t="shared" si="16"/>
        <v>7</v>
      </c>
      <c r="M131" t="s">
        <v>26</v>
      </c>
      <c r="N131" t="s">
        <v>27</v>
      </c>
      <c r="O131">
        <v>1200</v>
      </c>
      <c r="P131">
        <v>1000</v>
      </c>
      <c r="Q131">
        <v>700</v>
      </c>
      <c r="R131">
        <v>0</v>
      </c>
      <c r="S131" t="s">
        <v>28</v>
      </c>
      <c r="T131" t="s">
        <v>29</v>
      </c>
      <c r="U131">
        <v>2900</v>
      </c>
      <c r="V131">
        <v>0</v>
      </c>
      <c r="W131">
        <v>4.8</v>
      </c>
      <c r="X131" t="s">
        <v>488</v>
      </c>
      <c r="Y131" t="s">
        <v>689</v>
      </c>
      <c r="Z131" s="1">
        <v>45840</v>
      </c>
      <c r="AA131" s="1">
        <f>Table1[[#This Row],[Admission_Date]]+Table1[[#This Row],[Length_of_Stay]]</f>
        <v>45840</v>
      </c>
      <c r="AB131" t="str">
        <f t="shared" ca="1" si="17"/>
        <v>N/A</v>
      </c>
      <c r="AC131" t="str">
        <f ca="1">IF(AB131="General Ward","GW"&amp;TEXT(COUNTIF($AB$2:AB131,"General Ward"),"000"),IF(AB131="Semi Private","SP"&amp;TEXT(COUNTIF($AB$2:AB131,"Semi Private"),"000"),IF(AB131="Private Room","PR"&amp;TEXT(COUNTIF($AB$2:AB131,"Private Room"),"000"),IF(AB131="ICU","ICU"&amp;TEXT(COUNTIF($AB$2:AB131,"ICU"),"000"),"N/A"))))</f>
        <v>N/A</v>
      </c>
      <c r="AD131" t="str">
        <f t="shared" ref="AD131:AD194" ca="1" si="20">IF(AB131="N/A","Not Admitted",IF(RAND()&lt;0.5,"Occupied","Available"))</f>
        <v>Not Admitted</v>
      </c>
      <c r="AE131" s="2" t="str">
        <f t="shared" ca="1" si="18"/>
        <v>N/A</v>
      </c>
    </row>
    <row r="132" spans="1:31" x14ac:dyDescent="0.3">
      <c r="A132" t="s">
        <v>278</v>
      </c>
      <c r="B132" t="s">
        <v>62</v>
      </c>
      <c r="C132" t="s">
        <v>22</v>
      </c>
      <c r="D132">
        <v>63</v>
      </c>
      <c r="E132" t="str" cm="1">
        <f t="array" aca="1" ref="E132" ca="1">_xlfn.IFS(
H132="Cardiology",CHOOSE(RANDBETWEEN(1,6),"Hypertension","Arrhythmia","Angina","Heart Failure","Chest Pain","Coronary Artery Disease"),
H132="General Medicine",CHOOSE(RANDBETWEEN(1,6),"Viral Fever","Influenza","Diabetes","Gastritis","Typhoid","Food Poisoning"),
H132="Orthopedics",CHOOSE(RANDBETWEEN(1,6),"Fracture","Arthritis","Back Pain","Joint Pain","Knee Injury","Shoulder Dislocation"),
H132="Neurology",CHOOSE(RANDBETWEEN(1,6),"Migraine","Stroke","Epilepsy","Vertigo","Parkinson's Disease","Peripheral Neuropathy"),
H132="Pediatrics",CHOOSE(RANDBETWEEN(1,6),"Common Cold","Asthma","Pneumonia","Ear Infection","Viral Fever","Stomach Infection"),
H132="Dermatology",CHOOSE(RANDBETWEEN(1,6),"Acne","Eczema","Psoriasis","Fungal Infection","Heat Rash","Contact Dermatitis"),
H132="ENT",CHOOSE(RANDBETWEEN(1,6),"Sinusitis","Tonsillitis","Ear Infection","Throat Infection","Allergic Rhinitis","Otitis Media"),
H132="Gynecology",CHOOSE(RANDBETWEEN(1,6),"PCOS","UTI","Pregnancy Checkup","Menstrual Disorder","Ovarian Cyst","Endometriosis")
)</f>
        <v>Stroke</v>
      </c>
      <c r="F132" t="str" cm="1">
        <f t="array" ref="F132">_xlfn.SWITCH(K132,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32" t="s">
        <v>33</v>
      </c>
      <c r="H132" t="s">
        <v>54</v>
      </c>
      <c r="I132" t="s">
        <v>87</v>
      </c>
      <c r="J132" s="1">
        <v>45841</v>
      </c>
      <c r="K132" t="str">
        <f t="shared" si="19"/>
        <v>July</v>
      </c>
      <c r="L132">
        <f t="shared" si="16"/>
        <v>7</v>
      </c>
      <c r="M132" t="s">
        <v>26</v>
      </c>
      <c r="N132" t="s">
        <v>36</v>
      </c>
      <c r="O132">
        <v>2100</v>
      </c>
      <c r="P132">
        <v>9000</v>
      </c>
      <c r="Q132">
        <v>4500</v>
      </c>
      <c r="R132">
        <v>25000</v>
      </c>
      <c r="S132" t="s">
        <v>37</v>
      </c>
      <c r="T132" t="s">
        <v>15</v>
      </c>
      <c r="U132">
        <v>40600</v>
      </c>
      <c r="V132">
        <v>6</v>
      </c>
      <c r="W132">
        <v>4.9000000000000004</v>
      </c>
      <c r="X132" t="s">
        <v>489</v>
      </c>
      <c r="Y132" t="s">
        <v>690</v>
      </c>
      <c r="Z132" s="1">
        <v>45841</v>
      </c>
      <c r="AA132" s="1">
        <f>Table1[[#This Row],[Admission_Date]]+Table1[[#This Row],[Length_of_Stay]]</f>
        <v>45847</v>
      </c>
      <c r="AB132" t="str">
        <f t="shared" ca="1" si="17"/>
        <v>Semi Private</v>
      </c>
      <c r="AC132" t="str">
        <f ca="1">IF(AB132="General Ward","GW"&amp;TEXT(COUNTIF($AB$2:AB132,"General Ward"),"000"),IF(AB132="Semi Private","SP"&amp;TEXT(COUNTIF($AB$2:AB132,"Semi Private"),"000"),IF(AB132="Private Room","PR"&amp;TEXT(COUNTIF($AB$2:AB132,"Private Room"),"000"),IF(AB132="ICU","ICU"&amp;TEXT(COUNTIF($AB$2:AB132,"ICU"),"000"),"N/A"))))</f>
        <v>SP015</v>
      </c>
      <c r="AD132" t="str">
        <f t="shared" ca="1" si="20"/>
        <v>Occupied</v>
      </c>
      <c r="AE132" s="2" t="str">
        <f t="shared" ca="1" si="18"/>
        <v>Scheduled</v>
      </c>
    </row>
    <row r="133" spans="1:31" x14ac:dyDescent="0.3">
      <c r="A133" t="s">
        <v>279</v>
      </c>
      <c r="B133" t="s">
        <v>138</v>
      </c>
      <c r="C133" t="s">
        <v>32</v>
      </c>
      <c r="D133">
        <v>42</v>
      </c>
      <c r="E133" t="str" cm="1">
        <f t="array" aca="1" ref="E133" ca="1">_xlfn.IFS(
H133="Cardiology",CHOOSE(RANDBETWEEN(1,6),"Hypertension","Arrhythmia","Angina","Heart Failure","Chest Pain","Coronary Artery Disease"),
H133="General Medicine",CHOOSE(RANDBETWEEN(1,6),"Viral Fever","Influenza","Diabetes","Gastritis","Typhoid","Food Poisoning"),
H133="Orthopedics",CHOOSE(RANDBETWEEN(1,6),"Fracture","Arthritis","Back Pain","Joint Pain","Knee Injury","Shoulder Dislocation"),
H133="Neurology",CHOOSE(RANDBETWEEN(1,6),"Migraine","Stroke","Epilepsy","Vertigo","Parkinson's Disease","Peripheral Neuropathy"),
H133="Pediatrics",CHOOSE(RANDBETWEEN(1,6),"Common Cold","Asthma","Pneumonia","Ear Infection","Viral Fever","Stomach Infection"),
H133="Dermatology",CHOOSE(RANDBETWEEN(1,6),"Acne","Eczema","Psoriasis","Fungal Infection","Heat Rash","Contact Dermatitis"),
H133="ENT",CHOOSE(RANDBETWEEN(1,6),"Sinusitis","Tonsillitis","Ear Infection","Throat Infection","Allergic Rhinitis","Otitis Media"),
H133="Gynecology",CHOOSE(RANDBETWEEN(1,6),"PCOS","UTI","Pregnancy Checkup","Menstrual Disorder","Ovarian Cyst","Endometriosis")
)</f>
        <v>Coronary Artery Disease</v>
      </c>
      <c r="F133" t="str" cm="1">
        <f t="array" ref="F133">_xlfn.SWITCH(K133,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33" t="s">
        <v>53</v>
      </c>
      <c r="H133" t="s">
        <v>24</v>
      </c>
      <c r="I133" t="s">
        <v>69</v>
      </c>
      <c r="J133" s="1">
        <v>45842</v>
      </c>
      <c r="K133" t="str">
        <f t="shared" si="19"/>
        <v>July</v>
      </c>
      <c r="L133">
        <f t="shared" si="16"/>
        <v>7</v>
      </c>
      <c r="M133" t="s">
        <v>43</v>
      </c>
      <c r="N133" t="s">
        <v>27</v>
      </c>
      <c r="O133">
        <v>1200</v>
      </c>
      <c r="P133">
        <v>1000</v>
      </c>
      <c r="Q133">
        <v>900</v>
      </c>
      <c r="R133">
        <v>0</v>
      </c>
      <c r="S133" t="s">
        <v>28</v>
      </c>
      <c r="T133" t="s">
        <v>50</v>
      </c>
      <c r="U133">
        <v>3100</v>
      </c>
      <c r="V133">
        <v>0</v>
      </c>
      <c r="W133">
        <v>4.2</v>
      </c>
      <c r="X133" t="s">
        <v>490</v>
      </c>
      <c r="Y133" t="s">
        <v>691</v>
      </c>
      <c r="Z133" s="1">
        <v>45842</v>
      </c>
      <c r="AA133" s="1">
        <f>Table1[[#This Row],[Admission_Date]]+Table1[[#This Row],[Length_of_Stay]]</f>
        <v>45842</v>
      </c>
      <c r="AB133" t="str">
        <f t="shared" ca="1" si="17"/>
        <v>N/A</v>
      </c>
      <c r="AC133" t="str">
        <f ca="1">IF(AB133="General Ward","GW"&amp;TEXT(COUNTIF($AB$2:AB133,"General Ward"),"000"),IF(AB133="Semi Private","SP"&amp;TEXT(COUNTIF($AB$2:AB133,"Semi Private"),"000"),IF(AB133="Private Room","PR"&amp;TEXT(COUNTIF($AB$2:AB133,"Private Room"),"000"),IF(AB133="ICU","ICU"&amp;TEXT(COUNTIF($AB$2:AB133,"ICU"),"000"),"N/A"))))</f>
        <v>N/A</v>
      </c>
      <c r="AD133" t="str">
        <f t="shared" ca="1" si="20"/>
        <v>Not Admitted</v>
      </c>
      <c r="AE133" s="2" t="str">
        <f t="shared" ca="1" si="18"/>
        <v>N/A</v>
      </c>
    </row>
    <row r="134" spans="1:31" x14ac:dyDescent="0.3">
      <c r="A134" t="s">
        <v>280</v>
      </c>
      <c r="B134" t="s">
        <v>182</v>
      </c>
      <c r="C134" t="s">
        <v>22</v>
      </c>
      <c r="D134">
        <v>35</v>
      </c>
      <c r="E134" t="str" cm="1">
        <f t="array" aca="1" ref="E134" ca="1">_xlfn.IFS(
H134="Cardiology",CHOOSE(RANDBETWEEN(1,6),"Hypertension","Arrhythmia","Angina","Heart Failure","Chest Pain","Coronary Artery Disease"),
H134="General Medicine",CHOOSE(RANDBETWEEN(1,6),"Viral Fever","Influenza","Diabetes","Gastritis","Typhoid","Food Poisoning"),
H134="Orthopedics",CHOOSE(RANDBETWEEN(1,6),"Fracture","Arthritis","Back Pain","Joint Pain","Knee Injury","Shoulder Dislocation"),
H134="Neurology",CHOOSE(RANDBETWEEN(1,6),"Migraine","Stroke","Epilepsy","Vertigo","Parkinson's Disease","Peripheral Neuropathy"),
H134="Pediatrics",CHOOSE(RANDBETWEEN(1,6),"Common Cold","Asthma","Pneumonia","Ear Infection","Viral Fever","Stomach Infection"),
H134="Dermatology",CHOOSE(RANDBETWEEN(1,6),"Acne","Eczema","Psoriasis","Fungal Infection","Heat Rash","Contact Dermatitis"),
H134="ENT",CHOOSE(RANDBETWEEN(1,6),"Sinusitis","Tonsillitis","Ear Infection","Throat Infection","Allergic Rhinitis","Otitis Media"),
H134="Gynecology",CHOOSE(RANDBETWEEN(1,6),"PCOS","UTI","Pregnancy Checkup","Menstrual Disorder","Ovarian Cyst","Endometriosis")
)</f>
        <v>Sinusitis</v>
      </c>
      <c r="F134" t="str" cm="1">
        <f t="array" ref="F134">_xlfn.SWITCH(K134,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34" t="s">
        <v>68</v>
      </c>
      <c r="H134" t="s">
        <v>64</v>
      </c>
      <c r="I134" t="s">
        <v>78</v>
      </c>
      <c r="J134" s="1">
        <v>45843</v>
      </c>
      <c r="K134" t="str">
        <f t="shared" si="19"/>
        <v>July</v>
      </c>
      <c r="L134">
        <f t="shared" si="16"/>
        <v>7</v>
      </c>
      <c r="M134" t="s">
        <v>26</v>
      </c>
      <c r="N134" t="s">
        <v>27</v>
      </c>
      <c r="O134">
        <v>1000</v>
      </c>
      <c r="P134">
        <v>900</v>
      </c>
      <c r="Q134">
        <v>700</v>
      </c>
      <c r="R134">
        <v>0</v>
      </c>
      <c r="S134" t="s">
        <v>28</v>
      </c>
      <c r="T134" t="s">
        <v>44</v>
      </c>
      <c r="U134">
        <v>2600</v>
      </c>
      <c r="V134">
        <v>0</v>
      </c>
      <c r="W134">
        <v>4.5999999999999996</v>
      </c>
      <c r="X134" t="s">
        <v>491</v>
      </c>
      <c r="Y134" t="s">
        <v>692</v>
      </c>
      <c r="Z134" s="1">
        <v>45843</v>
      </c>
      <c r="AA134" s="1">
        <f>Table1[[#This Row],[Admission_Date]]+Table1[[#This Row],[Length_of_Stay]]</f>
        <v>45843</v>
      </c>
      <c r="AB134" t="str">
        <f t="shared" ca="1" si="17"/>
        <v>N/A</v>
      </c>
      <c r="AC134" t="str">
        <f ca="1">IF(AB134="General Ward","GW"&amp;TEXT(COUNTIF($AB$2:AB134,"General Ward"),"000"),IF(AB134="Semi Private","SP"&amp;TEXT(COUNTIF($AB$2:AB134,"Semi Private"),"000"),IF(AB134="Private Room","PR"&amp;TEXT(COUNTIF($AB$2:AB134,"Private Room"),"000"),IF(AB134="ICU","ICU"&amp;TEXT(COUNTIF($AB$2:AB134,"ICU"),"000"),"N/A"))))</f>
        <v>N/A</v>
      </c>
      <c r="AD134" t="str">
        <f t="shared" ca="1" si="20"/>
        <v>Not Admitted</v>
      </c>
      <c r="AE134" s="2" t="str">
        <f t="shared" ca="1" si="18"/>
        <v>N/A</v>
      </c>
    </row>
    <row r="135" spans="1:31" x14ac:dyDescent="0.3">
      <c r="A135" t="s">
        <v>281</v>
      </c>
      <c r="B135" t="s">
        <v>176</v>
      </c>
      <c r="C135" t="s">
        <v>32</v>
      </c>
      <c r="D135">
        <v>29</v>
      </c>
      <c r="E135" t="str" cm="1">
        <f t="array" aca="1" ref="E135" ca="1">_xlfn.IFS(
H135="Cardiology",CHOOSE(RANDBETWEEN(1,6),"Hypertension","Arrhythmia","Angina","Heart Failure","Chest Pain","Coronary Artery Disease"),
H135="General Medicine",CHOOSE(RANDBETWEEN(1,6),"Viral Fever","Influenza","Diabetes","Gastritis","Typhoid","Food Poisoning"),
H135="Orthopedics",CHOOSE(RANDBETWEEN(1,6),"Fracture","Arthritis","Back Pain","Joint Pain","Knee Injury","Shoulder Dislocation"),
H135="Neurology",CHOOSE(RANDBETWEEN(1,6),"Migraine","Stroke","Epilepsy","Vertigo","Parkinson's Disease","Peripheral Neuropathy"),
H135="Pediatrics",CHOOSE(RANDBETWEEN(1,6),"Common Cold","Asthma","Pneumonia","Ear Infection","Viral Fever","Stomach Infection"),
H135="Dermatology",CHOOSE(RANDBETWEEN(1,6),"Acne","Eczema","Psoriasis","Fungal Infection","Heat Rash","Contact Dermatitis"),
H135="ENT",CHOOSE(RANDBETWEEN(1,6),"Sinusitis","Tonsillitis","Ear Infection","Throat Infection","Allergic Rhinitis","Otitis Media"),
H135="Gynecology",CHOOSE(RANDBETWEEN(1,6),"PCOS","UTI","Pregnancy Checkup","Menstrual Disorder","Ovarian Cyst","Endometriosis")
)</f>
        <v>Eczema</v>
      </c>
      <c r="F135" t="str" cm="1">
        <f t="array" ref="F135">_xlfn.SWITCH(K135,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35" t="s">
        <v>72</v>
      </c>
      <c r="H135" t="s">
        <v>58</v>
      </c>
      <c r="I135" t="s">
        <v>151</v>
      </c>
      <c r="J135" s="1">
        <v>45844</v>
      </c>
      <c r="K135" t="str">
        <f t="shared" si="19"/>
        <v>July</v>
      </c>
      <c r="L135">
        <f t="shared" si="16"/>
        <v>7</v>
      </c>
      <c r="M135" t="s">
        <v>26</v>
      </c>
      <c r="N135" t="s">
        <v>27</v>
      </c>
      <c r="O135">
        <v>900</v>
      </c>
      <c r="P135">
        <v>500</v>
      </c>
      <c r="Q135">
        <v>500</v>
      </c>
      <c r="R135">
        <v>0</v>
      </c>
      <c r="S135" t="s">
        <v>28</v>
      </c>
      <c r="T135" t="s">
        <v>29</v>
      </c>
      <c r="U135">
        <v>1900</v>
      </c>
      <c r="V135">
        <v>0</v>
      </c>
      <c r="W135">
        <v>4.7</v>
      </c>
      <c r="X135" t="s">
        <v>492</v>
      </c>
      <c r="Y135" t="s">
        <v>693</v>
      </c>
      <c r="Z135" s="1">
        <v>45844</v>
      </c>
      <c r="AA135" s="1">
        <f>Table1[[#This Row],[Admission_Date]]+Table1[[#This Row],[Length_of_Stay]]</f>
        <v>45844</v>
      </c>
      <c r="AB135" t="str">
        <f t="shared" ca="1" si="17"/>
        <v>N/A</v>
      </c>
      <c r="AC135" t="str">
        <f ca="1">IF(AB135="General Ward","GW"&amp;TEXT(COUNTIF($AB$2:AB135,"General Ward"),"000"),IF(AB135="Semi Private","SP"&amp;TEXT(COUNTIF($AB$2:AB135,"Semi Private"),"000"),IF(AB135="Private Room","PR"&amp;TEXT(COUNTIF($AB$2:AB135,"Private Room"),"000"),IF(AB135="ICU","ICU"&amp;TEXT(COUNTIF($AB$2:AB135,"ICU"),"000"),"N/A"))))</f>
        <v>N/A</v>
      </c>
      <c r="AD135" t="str">
        <f t="shared" ca="1" si="20"/>
        <v>Not Admitted</v>
      </c>
      <c r="AE135" s="2" t="str">
        <f t="shared" ca="1" si="18"/>
        <v>N/A</v>
      </c>
    </row>
    <row r="136" spans="1:31" x14ac:dyDescent="0.3">
      <c r="A136" t="s">
        <v>282</v>
      </c>
      <c r="B136" t="s">
        <v>283</v>
      </c>
      <c r="C136" t="s">
        <v>22</v>
      </c>
      <c r="D136">
        <v>57</v>
      </c>
      <c r="E136" t="str" cm="1">
        <f t="array" aca="1" ref="E136" ca="1">_xlfn.IFS(
H136="Cardiology",CHOOSE(RANDBETWEEN(1,6),"Hypertension","Arrhythmia","Angina","Heart Failure","Chest Pain","Coronary Artery Disease"),
H136="General Medicine",CHOOSE(RANDBETWEEN(1,6),"Viral Fever","Influenza","Diabetes","Gastritis","Typhoid","Food Poisoning"),
H136="Orthopedics",CHOOSE(RANDBETWEEN(1,6),"Fracture","Arthritis","Back Pain","Joint Pain","Knee Injury","Shoulder Dislocation"),
H136="Neurology",CHOOSE(RANDBETWEEN(1,6),"Migraine","Stroke","Epilepsy","Vertigo","Parkinson's Disease","Peripheral Neuropathy"),
H136="Pediatrics",CHOOSE(RANDBETWEEN(1,6),"Common Cold","Asthma","Pneumonia","Ear Infection","Viral Fever","Stomach Infection"),
H136="Dermatology",CHOOSE(RANDBETWEEN(1,6),"Acne","Eczema","Psoriasis","Fungal Infection","Heat Rash","Contact Dermatitis"),
H136="ENT",CHOOSE(RANDBETWEEN(1,6),"Sinusitis","Tonsillitis","Ear Infection","Throat Infection","Allergic Rhinitis","Otitis Media"),
H136="Gynecology",CHOOSE(RANDBETWEEN(1,6),"PCOS","UTI","Pregnancy Checkup","Menstrual Disorder","Ovarian Cyst","Endometriosis")
)</f>
        <v>Arthritis</v>
      </c>
      <c r="F136" t="str" cm="1">
        <f t="array" ref="F136">_xlfn.SWITCH(K136,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36" t="s">
        <v>63</v>
      </c>
      <c r="H136" t="s">
        <v>41</v>
      </c>
      <c r="I136" t="s">
        <v>42</v>
      </c>
      <c r="J136" s="1">
        <v>45845</v>
      </c>
      <c r="K136" t="str">
        <f t="shared" si="19"/>
        <v>July</v>
      </c>
      <c r="L136">
        <f t="shared" si="16"/>
        <v>7</v>
      </c>
      <c r="M136" t="s">
        <v>26</v>
      </c>
      <c r="N136" t="s">
        <v>36</v>
      </c>
      <c r="O136">
        <v>1800</v>
      </c>
      <c r="P136">
        <v>5800</v>
      </c>
      <c r="Q136">
        <v>3000</v>
      </c>
      <c r="R136">
        <v>19000</v>
      </c>
      <c r="S136" t="s">
        <v>37</v>
      </c>
      <c r="T136" t="s">
        <v>15</v>
      </c>
      <c r="U136">
        <v>29600</v>
      </c>
      <c r="V136">
        <v>4</v>
      </c>
      <c r="W136">
        <v>4.8</v>
      </c>
      <c r="X136" t="s">
        <v>493</v>
      </c>
      <c r="Y136" t="s">
        <v>694</v>
      </c>
      <c r="Z136" s="1">
        <v>45845</v>
      </c>
      <c r="AA136" s="1">
        <f>Table1[[#This Row],[Admission_Date]]+Table1[[#This Row],[Length_of_Stay]]</f>
        <v>45849</v>
      </c>
      <c r="AB136" t="str">
        <f t="shared" ca="1" si="17"/>
        <v>Semi Private</v>
      </c>
      <c r="AC136" t="str">
        <f ca="1">IF(AB136="General Ward","GW"&amp;TEXT(COUNTIF($AB$2:AB136,"General Ward"),"000"),IF(AB136="Semi Private","SP"&amp;TEXT(COUNTIF($AB$2:AB136,"Semi Private"),"000"),IF(AB136="Private Room","PR"&amp;TEXT(COUNTIF($AB$2:AB136,"Private Room"),"000"),IF(AB136="ICU","ICU"&amp;TEXT(COUNTIF($AB$2:AB136,"ICU"),"000"),"N/A"))))</f>
        <v>SP016</v>
      </c>
      <c r="AD136" t="str">
        <f t="shared" ca="1" si="20"/>
        <v>Occupied</v>
      </c>
      <c r="AE136" s="2" t="str">
        <f t="shared" ca="1" si="18"/>
        <v>Emergency</v>
      </c>
    </row>
    <row r="137" spans="1:31" x14ac:dyDescent="0.3">
      <c r="A137" t="s">
        <v>284</v>
      </c>
      <c r="B137" t="s">
        <v>285</v>
      </c>
      <c r="C137" t="s">
        <v>32</v>
      </c>
      <c r="D137">
        <v>33</v>
      </c>
      <c r="E137" t="str" cm="1">
        <f t="array" aca="1" ref="E137" ca="1">_xlfn.IFS(
H137="Cardiology",CHOOSE(RANDBETWEEN(1,6),"Hypertension","Arrhythmia","Angina","Heart Failure","Chest Pain","Coronary Artery Disease"),
H137="General Medicine",CHOOSE(RANDBETWEEN(1,6),"Viral Fever","Influenza","Diabetes","Gastritis","Typhoid","Food Poisoning"),
H137="Orthopedics",CHOOSE(RANDBETWEEN(1,6),"Fracture","Arthritis","Back Pain","Joint Pain","Knee Injury","Shoulder Dislocation"),
H137="Neurology",CHOOSE(RANDBETWEEN(1,6),"Migraine","Stroke","Epilepsy","Vertigo","Parkinson's Disease","Peripheral Neuropathy"),
H137="Pediatrics",CHOOSE(RANDBETWEEN(1,6),"Common Cold","Asthma","Pneumonia","Ear Infection","Viral Fever","Stomach Infection"),
H137="Dermatology",CHOOSE(RANDBETWEEN(1,6),"Acne","Eczema","Psoriasis","Fungal Infection","Heat Rash","Contact Dermatitis"),
H137="ENT",CHOOSE(RANDBETWEEN(1,6),"Sinusitis","Tonsillitis","Ear Infection","Throat Infection","Allergic Rhinitis","Otitis Media"),
H137="Gynecology",CHOOSE(RANDBETWEEN(1,6),"PCOS","UTI","Pregnancy Checkup","Menstrual Disorder","Ovarian Cyst","Endometriosis")
)</f>
        <v>Typhoid</v>
      </c>
      <c r="F137" t="str" cm="1">
        <f t="array" ref="F137">_xlfn.SWITCH(K137,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37" t="s">
        <v>77</v>
      </c>
      <c r="H137" t="s">
        <v>73</v>
      </c>
      <c r="I137" t="s">
        <v>105</v>
      </c>
      <c r="J137" s="1">
        <v>45846</v>
      </c>
      <c r="K137" t="str">
        <f t="shared" si="19"/>
        <v>July</v>
      </c>
      <c r="L137">
        <f t="shared" si="16"/>
        <v>7</v>
      </c>
      <c r="M137" t="s">
        <v>26</v>
      </c>
      <c r="N137" t="s">
        <v>27</v>
      </c>
      <c r="O137">
        <v>800</v>
      </c>
      <c r="P137">
        <v>900</v>
      </c>
      <c r="Q137">
        <v>700</v>
      </c>
      <c r="R137">
        <v>0</v>
      </c>
      <c r="S137" t="s">
        <v>28</v>
      </c>
      <c r="T137" t="s">
        <v>50</v>
      </c>
      <c r="U137">
        <v>2400</v>
      </c>
      <c r="V137">
        <v>0</v>
      </c>
      <c r="W137">
        <v>4.5999999999999996</v>
      </c>
      <c r="X137" t="s">
        <v>494</v>
      </c>
      <c r="Y137" t="s">
        <v>695</v>
      </c>
      <c r="Z137" s="1">
        <v>45846</v>
      </c>
      <c r="AA137" s="1">
        <f>Table1[[#This Row],[Admission_Date]]+Table1[[#This Row],[Length_of_Stay]]</f>
        <v>45846</v>
      </c>
      <c r="AB137" t="str">
        <f t="shared" ca="1" si="17"/>
        <v>N/A</v>
      </c>
      <c r="AC137" t="str">
        <f ca="1">IF(AB137="General Ward","GW"&amp;TEXT(COUNTIF($AB$2:AB137,"General Ward"),"000"),IF(AB137="Semi Private","SP"&amp;TEXT(COUNTIF($AB$2:AB137,"Semi Private"),"000"),IF(AB137="Private Room","PR"&amp;TEXT(COUNTIF($AB$2:AB137,"Private Room"),"000"),IF(AB137="ICU","ICU"&amp;TEXT(COUNTIF($AB$2:AB137,"ICU"),"000"),"N/A"))))</f>
        <v>N/A</v>
      </c>
      <c r="AD137" t="str">
        <f t="shared" ca="1" si="20"/>
        <v>Not Admitted</v>
      </c>
      <c r="AE137" s="2" t="str">
        <f t="shared" ca="1" si="18"/>
        <v>N/A</v>
      </c>
    </row>
    <row r="138" spans="1:31" x14ac:dyDescent="0.3">
      <c r="A138" t="s">
        <v>286</v>
      </c>
      <c r="B138" t="s">
        <v>116</v>
      </c>
      <c r="C138" t="s">
        <v>22</v>
      </c>
      <c r="D138">
        <v>45</v>
      </c>
      <c r="E138" t="str" cm="1">
        <f t="array" aca="1" ref="E138" ca="1">_xlfn.IFS(
H138="Cardiology",CHOOSE(RANDBETWEEN(1,6),"Hypertension","Arrhythmia","Angina","Heart Failure","Chest Pain","Coronary Artery Disease"),
H138="General Medicine",CHOOSE(RANDBETWEEN(1,6),"Viral Fever","Influenza","Diabetes","Gastritis","Typhoid","Food Poisoning"),
H138="Orthopedics",CHOOSE(RANDBETWEEN(1,6),"Fracture","Arthritis","Back Pain","Joint Pain","Knee Injury","Shoulder Dislocation"),
H138="Neurology",CHOOSE(RANDBETWEEN(1,6),"Migraine","Stroke","Epilepsy","Vertigo","Parkinson's Disease","Peripheral Neuropathy"),
H138="Pediatrics",CHOOSE(RANDBETWEEN(1,6),"Common Cold","Asthma","Pneumonia","Ear Infection","Viral Fever","Stomach Infection"),
H138="Dermatology",CHOOSE(RANDBETWEEN(1,6),"Acne","Eczema","Psoriasis","Fungal Infection","Heat Rash","Contact Dermatitis"),
H138="ENT",CHOOSE(RANDBETWEEN(1,6),"Sinusitis","Tonsillitis","Ear Infection","Throat Infection","Allergic Rhinitis","Otitis Media"),
H138="Gynecology",CHOOSE(RANDBETWEEN(1,6),"PCOS","UTI","Pregnancy Checkup","Menstrual Disorder","Ovarian Cyst","Endometriosis")
)</f>
        <v>Arrhythmia</v>
      </c>
      <c r="F138" t="str" cm="1">
        <f t="array" ref="F138">_xlfn.SWITCH(K138,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38" t="s">
        <v>23</v>
      </c>
      <c r="H138" t="s">
        <v>24</v>
      </c>
      <c r="I138" t="s">
        <v>93</v>
      </c>
      <c r="J138" s="1">
        <v>45847</v>
      </c>
      <c r="K138" t="str">
        <f t="shared" si="19"/>
        <v>July</v>
      </c>
      <c r="L138">
        <f t="shared" si="16"/>
        <v>7</v>
      </c>
      <c r="M138" t="s">
        <v>26</v>
      </c>
      <c r="N138" t="s">
        <v>36</v>
      </c>
      <c r="O138">
        <v>2000</v>
      </c>
      <c r="P138">
        <v>7500</v>
      </c>
      <c r="Q138">
        <v>3800</v>
      </c>
      <c r="R138">
        <v>24000</v>
      </c>
      <c r="S138" t="s">
        <v>37</v>
      </c>
      <c r="T138" t="s">
        <v>15</v>
      </c>
      <c r="U138">
        <v>37300</v>
      </c>
      <c r="V138">
        <v>6</v>
      </c>
      <c r="W138">
        <v>4.9000000000000004</v>
      </c>
      <c r="X138" t="s">
        <v>495</v>
      </c>
      <c r="Y138" t="s">
        <v>696</v>
      </c>
      <c r="Z138" s="1">
        <v>45847</v>
      </c>
      <c r="AA138" s="1">
        <f>Table1[[#This Row],[Admission_Date]]+Table1[[#This Row],[Length_of_Stay]]</f>
        <v>45853</v>
      </c>
      <c r="AB138" t="str">
        <f t="shared" ca="1" si="17"/>
        <v>General Ward</v>
      </c>
      <c r="AC138" t="str">
        <f ca="1">IF(AB138="General Ward","GW"&amp;TEXT(COUNTIF($AB$2:AB138,"General Ward"),"000"),IF(AB138="Semi Private","SP"&amp;TEXT(COUNTIF($AB$2:AB138,"Semi Private"),"000"),IF(AB138="Private Room","PR"&amp;TEXT(COUNTIF($AB$2:AB138,"Private Room"),"000"),IF(AB138="ICU","ICU"&amp;TEXT(COUNTIF($AB$2:AB138,"ICU"),"000"),"N/A"))))</f>
        <v>GW006</v>
      </c>
      <c r="AD138" t="str">
        <f t="shared" ca="1" si="20"/>
        <v>Occupied</v>
      </c>
      <c r="AE138" s="2" t="str">
        <f t="shared" ca="1" si="18"/>
        <v>Walk-in</v>
      </c>
    </row>
    <row r="139" spans="1:31" x14ac:dyDescent="0.3">
      <c r="A139" t="s">
        <v>287</v>
      </c>
      <c r="B139" t="s">
        <v>184</v>
      </c>
      <c r="C139" t="s">
        <v>32</v>
      </c>
      <c r="D139">
        <v>22</v>
      </c>
      <c r="E139" t="str" cm="1">
        <f t="array" aca="1" ref="E139" ca="1">_xlfn.IFS(
H139="Cardiology",CHOOSE(RANDBETWEEN(1,6),"Hypertension","Arrhythmia","Angina","Heart Failure","Chest Pain","Coronary Artery Disease"),
H139="General Medicine",CHOOSE(RANDBETWEEN(1,6),"Viral Fever","Influenza","Diabetes","Gastritis","Typhoid","Food Poisoning"),
H139="Orthopedics",CHOOSE(RANDBETWEEN(1,6),"Fracture","Arthritis","Back Pain","Joint Pain","Knee Injury","Shoulder Dislocation"),
H139="Neurology",CHOOSE(RANDBETWEEN(1,6),"Migraine","Stroke","Epilepsy","Vertigo","Parkinson's Disease","Peripheral Neuropathy"),
H139="Pediatrics",CHOOSE(RANDBETWEEN(1,6),"Common Cold","Asthma","Pneumonia","Ear Infection","Viral Fever","Stomach Infection"),
H139="Dermatology",CHOOSE(RANDBETWEEN(1,6),"Acne","Eczema","Psoriasis","Fungal Infection","Heat Rash","Contact Dermatitis"),
H139="ENT",CHOOSE(RANDBETWEEN(1,6),"Sinusitis","Tonsillitis","Ear Infection","Throat Infection","Allergic Rhinitis","Otitis Media"),
H139="Gynecology",CHOOSE(RANDBETWEEN(1,6),"PCOS","UTI","Pregnancy Checkup","Menstrual Disorder","Ovarian Cyst","Endometriosis")
)</f>
        <v>Viral Fever</v>
      </c>
      <c r="F139" t="str" cm="1">
        <f t="array" ref="F139">_xlfn.SWITCH(K139,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39" t="s">
        <v>47</v>
      </c>
      <c r="H139" t="s">
        <v>48</v>
      </c>
      <c r="I139" t="s">
        <v>49</v>
      </c>
      <c r="J139" s="1">
        <v>45848</v>
      </c>
      <c r="K139" t="str">
        <f t="shared" si="19"/>
        <v>July</v>
      </c>
      <c r="L139">
        <f t="shared" si="16"/>
        <v>7</v>
      </c>
      <c r="M139" t="s">
        <v>26</v>
      </c>
      <c r="N139" t="s">
        <v>27</v>
      </c>
      <c r="O139">
        <v>700</v>
      </c>
      <c r="P139">
        <v>600</v>
      </c>
      <c r="Q139">
        <v>400</v>
      </c>
      <c r="R139">
        <v>0</v>
      </c>
      <c r="S139" t="s">
        <v>28</v>
      </c>
      <c r="T139" t="s">
        <v>44</v>
      </c>
      <c r="U139">
        <v>1700</v>
      </c>
      <c r="V139">
        <v>0</v>
      </c>
      <c r="W139">
        <v>4.8</v>
      </c>
      <c r="X139" t="s">
        <v>496</v>
      </c>
      <c r="Y139" t="s">
        <v>697</v>
      </c>
      <c r="Z139" s="1">
        <v>45848</v>
      </c>
      <c r="AA139" s="1">
        <f>Table1[[#This Row],[Admission_Date]]+Table1[[#This Row],[Length_of_Stay]]</f>
        <v>45848</v>
      </c>
      <c r="AB139" t="str">
        <f t="shared" ca="1" si="17"/>
        <v>N/A</v>
      </c>
      <c r="AC139" t="str">
        <f ca="1">IF(AB139="General Ward","GW"&amp;TEXT(COUNTIF($AB$2:AB139,"General Ward"),"000"),IF(AB139="Semi Private","SP"&amp;TEXT(COUNTIF($AB$2:AB139,"Semi Private"),"000"),IF(AB139="Private Room","PR"&amp;TEXT(COUNTIF($AB$2:AB139,"Private Room"),"000"),IF(AB139="ICU","ICU"&amp;TEXT(COUNTIF($AB$2:AB139,"ICU"),"000"),"N/A"))))</f>
        <v>N/A</v>
      </c>
      <c r="AD139" t="str">
        <f t="shared" ca="1" si="20"/>
        <v>Not Admitted</v>
      </c>
      <c r="AE139" s="2" t="str">
        <f t="shared" ca="1" si="18"/>
        <v>N/A</v>
      </c>
    </row>
    <row r="140" spans="1:31" x14ac:dyDescent="0.3">
      <c r="A140" t="s">
        <v>288</v>
      </c>
      <c r="B140" t="s">
        <v>289</v>
      </c>
      <c r="C140" t="s">
        <v>22</v>
      </c>
      <c r="D140">
        <v>51</v>
      </c>
      <c r="E140" t="str" cm="1">
        <f t="array" aca="1" ref="E140" ca="1">_xlfn.IFS(
H140="Cardiology",CHOOSE(RANDBETWEEN(1,6),"Hypertension","Arrhythmia","Angina","Heart Failure","Chest Pain","Coronary Artery Disease"),
H140="General Medicine",CHOOSE(RANDBETWEEN(1,6),"Viral Fever","Influenza","Diabetes","Gastritis","Typhoid","Food Poisoning"),
H140="Orthopedics",CHOOSE(RANDBETWEEN(1,6),"Fracture","Arthritis","Back Pain","Joint Pain","Knee Injury","Shoulder Dislocation"),
H140="Neurology",CHOOSE(RANDBETWEEN(1,6),"Migraine","Stroke","Epilepsy","Vertigo","Parkinson's Disease","Peripheral Neuropathy"),
H140="Pediatrics",CHOOSE(RANDBETWEEN(1,6),"Common Cold","Asthma","Pneumonia","Ear Infection","Viral Fever","Stomach Infection"),
H140="Dermatology",CHOOSE(RANDBETWEEN(1,6),"Acne","Eczema","Psoriasis","Fungal Infection","Heat Rash","Contact Dermatitis"),
H140="ENT",CHOOSE(RANDBETWEEN(1,6),"Sinusitis","Tonsillitis","Ear Infection","Throat Infection","Allergic Rhinitis","Otitis Media"),
H140="Gynecology",CHOOSE(RANDBETWEEN(1,6),"PCOS","UTI","Pregnancy Checkup","Menstrual Disorder","Ovarian Cyst","Endometriosis")
)</f>
        <v>Otitis Media</v>
      </c>
      <c r="F140" t="str" cm="1">
        <f t="array" ref="F140">_xlfn.SWITCH(K140,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40" t="s">
        <v>40</v>
      </c>
      <c r="H140" t="s">
        <v>64</v>
      </c>
      <c r="I140" t="s">
        <v>99</v>
      </c>
      <c r="J140" s="1">
        <v>45849</v>
      </c>
      <c r="K140" t="str">
        <f t="shared" si="19"/>
        <v>July</v>
      </c>
      <c r="L140">
        <f t="shared" si="16"/>
        <v>7</v>
      </c>
      <c r="M140" t="s">
        <v>26</v>
      </c>
      <c r="N140" t="s">
        <v>27</v>
      </c>
      <c r="O140">
        <v>1000</v>
      </c>
      <c r="P140">
        <v>900</v>
      </c>
      <c r="Q140">
        <v>800</v>
      </c>
      <c r="R140">
        <v>0</v>
      </c>
      <c r="S140" t="s">
        <v>28</v>
      </c>
      <c r="T140" t="s">
        <v>29</v>
      </c>
      <c r="U140">
        <v>2700</v>
      </c>
      <c r="V140">
        <v>0</v>
      </c>
      <c r="W140">
        <v>4.5999999999999996</v>
      </c>
      <c r="X140" t="s">
        <v>497</v>
      </c>
      <c r="Y140" t="s">
        <v>698</v>
      </c>
      <c r="Z140" s="1">
        <v>45849</v>
      </c>
      <c r="AA140" s="1">
        <f>Table1[[#This Row],[Admission_Date]]+Table1[[#This Row],[Length_of_Stay]]</f>
        <v>45849</v>
      </c>
      <c r="AB140" t="str">
        <f t="shared" ca="1" si="17"/>
        <v>N/A</v>
      </c>
      <c r="AC140" t="str">
        <f ca="1">IF(AB140="General Ward","GW"&amp;TEXT(COUNTIF($AB$2:AB140,"General Ward"),"000"),IF(AB140="Semi Private","SP"&amp;TEXT(COUNTIF($AB$2:AB140,"Semi Private"),"000"),IF(AB140="Private Room","PR"&amp;TEXT(COUNTIF($AB$2:AB140,"Private Room"),"000"),IF(AB140="ICU","ICU"&amp;TEXT(COUNTIF($AB$2:AB140,"ICU"),"000"),"N/A"))))</f>
        <v>N/A</v>
      </c>
      <c r="AD140" t="str">
        <f t="shared" ca="1" si="20"/>
        <v>Not Admitted</v>
      </c>
      <c r="AE140" s="2" t="str">
        <f t="shared" ca="1" si="18"/>
        <v>N/A</v>
      </c>
    </row>
    <row r="141" spans="1:31" x14ac:dyDescent="0.3">
      <c r="A141" t="s">
        <v>290</v>
      </c>
      <c r="B141" t="s">
        <v>150</v>
      </c>
      <c r="C141" t="s">
        <v>32</v>
      </c>
      <c r="D141">
        <v>38</v>
      </c>
      <c r="E141" t="str" cm="1">
        <f t="array" aca="1" ref="E141" ca="1">_xlfn.IFS(
H141="Cardiology",CHOOSE(RANDBETWEEN(1,6),"Hypertension","Arrhythmia","Angina","Heart Failure","Chest Pain","Coronary Artery Disease"),
H141="General Medicine",CHOOSE(RANDBETWEEN(1,6),"Viral Fever","Influenza","Diabetes","Gastritis","Typhoid","Food Poisoning"),
H141="Orthopedics",CHOOSE(RANDBETWEEN(1,6),"Fracture","Arthritis","Back Pain","Joint Pain","Knee Injury","Shoulder Dislocation"),
H141="Neurology",CHOOSE(RANDBETWEEN(1,6),"Migraine","Stroke","Epilepsy","Vertigo","Parkinson's Disease","Peripheral Neuropathy"),
H141="Pediatrics",CHOOSE(RANDBETWEEN(1,6),"Common Cold","Asthma","Pneumonia","Ear Infection","Viral Fever","Stomach Infection"),
H141="Dermatology",CHOOSE(RANDBETWEEN(1,6),"Acne","Eczema","Psoriasis","Fungal Infection","Heat Rash","Contact Dermatitis"),
H141="ENT",CHOOSE(RANDBETWEEN(1,6),"Sinusitis","Tonsillitis","Ear Infection","Throat Infection","Allergic Rhinitis","Otitis Media"),
H141="Gynecology",CHOOSE(RANDBETWEEN(1,6),"PCOS","UTI","Pregnancy Checkup","Menstrual Disorder","Ovarian Cyst","Endometriosis")
)</f>
        <v>Ovarian Cyst</v>
      </c>
      <c r="F141" t="str" cm="1">
        <f t="array" ref="F141">_xlfn.SWITCH(K141,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41" t="s">
        <v>33</v>
      </c>
      <c r="H141" t="s">
        <v>34</v>
      </c>
      <c r="I141" t="s">
        <v>96</v>
      </c>
      <c r="J141" s="1">
        <v>45850</v>
      </c>
      <c r="K141" t="str">
        <f t="shared" si="19"/>
        <v>July</v>
      </c>
      <c r="L141">
        <f t="shared" si="16"/>
        <v>7</v>
      </c>
      <c r="M141" t="s">
        <v>26</v>
      </c>
      <c r="N141" t="s">
        <v>27</v>
      </c>
      <c r="O141">
        <v>1200</v>
      </c>
      <c r="P141">
        <v>1000</v>
      </c>
      <c r="Q141">
        <v>800</v>
      </c>
      <c r="R141">
        <v>0</v>
      </c>
      <c r="S141" t="s">
        <v>28</v>
      </c>
      <c r="T141" t="s">
        <v>50</v>
      </c>
      <c r="U141">
        <v>3000</v>
      </c>
      <c r="V141">
        <v>0</v>
      </c>
      <c r="W141">
        <v>4.8</v>
      </c>
      <c r="X141" t="s">
        <v>498</v>
      </c>
      <c r="Y141" t="s">
        <v>699</v>
      </c>
      <c r="Z141" s="1">
        <v>45850</v>
      </c>
      <c r="AA141" s="1">
        <f>Table1[[#This Row],[Admission_Date]]+Table1[[#This Row],[Length_of_Stay]]</f>
        <v>45850</v>
      </c>
      <c r="AB141" t="str">
        <f t="shared" ca="1" si="17"/>
        <v>N/A</v>
      </c>
      <c r="AC141" t="str">
        <f ca="1">IF(AB141="General Ward","GW"&amp;TEXT(COUNTIF($AB$2:AB141,"General Ward"),"000"),IF(AB141="Semi Private","SP"&amp;TEXT(COUNTIF($AB$2:AB141,"Semi Private"),"000"),IF(AB141="Private Room","PR"&amp;TEXT(COUNTIF($AB$2:AB141,"Private Room"),"000"),IF(AB141="ICU","ICU"&amp;TEXT(COUNTIF($AB$2:AB141,"ICU"),"000"),"N/A"))))</f>
        <v>N/A</v>
      </c>
      <c r="AD141" t="str">
        <f t="shared" ca="1" si="20"/>
        <v>Not Admitted</v>
      </c>
      <c r="AE141" s="2" t="str">
        <f t="shared" ca="1" si="18"/>
        <v>N/A</v>
      </c>
    </row>
    <row r="142" spans="1:31" x14ac:dyDescent="0.3">
      <c r="A142" t="s">
        <v>291</v>
      </c>
      <c r="B142" t="s">
        <v>292</v>
      </c>
      <c r="C142" t="s">
        <v>22</v>
      </c>
      <c r="D142">
        <v>44</v>
      </c>
      <c r="E142" t="str" cm="1">
        <f t="array" aca="1" ref="E142" ca="1">_xlfn.IFS(
H142="Cardiology",CHOOSE(RANDBETWEEN(1,6),"Hypertension","Arrhythmia","Angina","Heart Failure","Chest Pain","Coronary Artery Disease"),
H142="General Medicine",CHOOSE(RANDBETWEEN(1,6),"Viral Fever","Influenza","Diabetes","Gastritis","Typhoid","Food Poisoning"),
H142="Orthopedics",CHOOSE(RANDBETWEEN(1,6),"Fracture","Arthritis","Back Pain","Joint Pain","Knee Injury","Shoulder Dislocation"),
H142="Neurology",CHOOSE(RANDBETWEEN(1,6),"Migraine","Stroke","Epilepsy","Vertigo","Parkinson's Disease","Peripheral Neuropathy"),
H142="Pediatrics",CHOOSE(RANDBETWEEN(1,6),"Common Cold","Asthma","Pneumonia","Ear Infection","Viral Fever","Stomach Infection"),
H142="Dermatology",CHOOSE(RANDBETWEEN(1,6),"Acne","Eczema","Psoriasis","Fungal Infection","Heat Rash","Contact Dermatitis"),
H142="ENT",CHOOSE(RANDBETWEEN(1,6),"Sinusitis","Tonsillitis","Ear Infection","Throat Infection","Allergic Rhinitis","Otitis Media"),
H142="Gynecology",CHOOSE(RANDBETWEEN(1,6),"PCOS","UTI","Pregnancy Checkup","Menstrual Disorder","Ovarian Cyst","Endometriosis")
)</f>
        <v>Diabetes</v>
      </c>
      <c r="F142" t="str" cm="1">
        <f t="array" ref="F142">_xlfn.SWITCH(K142,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42" t="s">
        <v>23</v>
      </c>
      <c r="H142" t="s">
        <v>73</v>
      </c>
      <c r="I142" t="s">
        <v>74</v>
      </c>
      <c r="J142" s="1">
        <v>45851</v>
      </c>
      <c r="K142" t="str">
        <f t="shared" si="19"/>
        <v>July</v>
      </c>
      <c r="L142">
        <f t="shared" si="16"/>
        <v>7</v>
      </c>
      <c r="M142" t="s">
        <v>26</v>
      </c>
      <c r="N142" t="s">
        <v>27</v>
      </c>
      <c r="O142">
        <v>900</v>
      </c>
      <c r="P142">
        <v>1000</v>
      </c>
      <c r="Q142">
        <v>800</v>
      </c>
      <c r="R142">
        <v>0</v>
      </c>
      <c r="S142" t="s">
        <v>28</v>
      </c>
      <c r="T142" t="s">
        <v>29</v>
      </c>
      <c r="U142">
        <v>2700</v>
      </c>
      <c r="V142">
        <v>0</v>
      </c>
      <c r="W142">
        <v>4.7</v>
      </c>
      <c r="X142" t="s">
        <v>499</v>
      </c>
      <c r="Y142" t="s">
        <v>700</v>
      </c>
      <c r="Z142" s="1">
        <v>45851</v>
      </c>
      <c r="AA142" s="1">
        <f>Table1[[#This Row],[Admission_Date]]+Table1[[#This Row],[Length_of_Stay]]</f>
        <v>45851</v>
      </c>
      <c r="AB142" t="str">
        <f t="shared" ca="1" si="17"/>
        <v>N/A</v>
      </c>
      <c r="AC142" t="str">
        <f ca="1">IF(AB142="General Ward","GW"&amp;TEXT(COUNTIF($AB$2:AB142,"General Ward"),"000"),IF(AB142="Semi Private","SP"&amp;TEXT(COUNTIF($AB$2:AB142,"Semi Private"),"000"),IF(AB142="Private Room","PR"&amp;TEXT(COUNTIF($AB$2:AB142,"Private Room"),"000"),IF(AB142="ICU","ICU"&amp;TEXT(COUNTIF($AB$2:AB142,"ICU"),"000"),"N/A"))))</f>
        <v>N/A</v>
      </c>
      <c r="AD142" t="str">
        <f t="shared" ca="1" si="20"/>
        <v>Not Admitted</v>
      </c>
      <c r="AE142" s="2" t="str">
        <f t="shared" ca="1" si="18"/>
        <v>N/A</v>
      </c>
    </row>
    <row r="143" spans="1:31" x14ac:dyDescent="0.3">
      <c r="A143" t="s">
        <v>293</v>
      </c>
      <c r="B143" t="s">
        <v>205</v>
      </c>
      <c r="C143" t="s">
        <v>32</v>
      </c>
      <c r="D143">
        <v>27</v>
      </c>
      <c r="E143" t="str" cm="1">
        <f t="array" aca="1" ref="E143" ca="1">_xlfn.IFS(
H143="Cardiology",CHOOSE(RANDBETWEEN(1,6),"Hypertension","Arrhythmia","Angina","Heart Failure","Chest Pain","Coronary Artery Disease"),
H143="General Medicine",CHOOSE(RANDBETWEEN(1,6),"Viral Fever","Influenza","Diabetes","Gastritis","Typhoid","Food Poisoning"),
H143="Orthopedics",CHOOSE(RANDBETWEEN(1,6),"Fracture","Arthritis","Back Pain","Joint Pain","Knee Injury","Shoulder Dislocation"),
H143="Neurology",CHOOSE(RANDBETWEEN(1,6),"Migraine","Stroke","Epilepsy","Vertigo","Parkinson's Disease","Peripheral Neuropathy"),
H143="Pediatrics",CHOOSE(RANDBETWEEN(1,6),"Common Cold","Asthma","Pneumonia","Ear Infection","Viral Fever","Stomach Infection"),
H143="Dermatology",CHOOSE(RANDBETWEEN(1,6),"Acne","Eczema","Psoriasis","Fungal Infection","Heat Rash","Contact Dermatitis"),
H143="ENT",CHOOSE(RANDBETWEEN(1,6),"Sinusitis","Tonsillitis","Ear Infection","Throat Infection","Allergic Rhinitis","Otitis Media"),
H143="Gynecology",CHOOSE(RANDBETWEEN(1,6),"PCOS","UTI","Pregnancy Checkup","Menstrual Disorder","Ovarian Cyst","Endometriosis")
)</f>
        <v>Acne</v>
      </c>
      <c r="F143" t="str" cm="1">
        <f t="array" ref="F143">_xlfn.SWITCH(K143,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43" t="s">
        <v>47</v>
      </c>
      <c r="H143" t="s">
        <v>58</v>
      </c>
      <c r="I143" t="s">
        <v>59</v>
      </c>
      <c r="J143" s="1">
        <v>45852</v>
      </c>
      <c r="K143" t="str">
        <f t="shared" si="19"/>
        <v>July</v>
      </c>
      <c r="L143">
        <f t="shared" si="16"/>
        <v>7</v>
      </c>
      <c r="M143" t="s">
        <v>26</v>
      </c>
      <c r="N143" t="s">
        <v>27</v>
      </c>
      <c r="O143">
        <v>900</v>
      </c>
      <c r="P143">
        <v>600</v>
      </c>
      <c r="Q143">
        <v>500</v>
      </c>
      <c r="R143">
        <v>0</v>
      </c>
      <c r="S143" t="s">
        <v>28</v>
      </c>
      <c r="T143" t="s">
        <v>50</v>
      </c>
      <c r="U143">
        <v>2000</v>
      </c>
      <c r="V143">
        <v>0</v>
      </c>
      <c r="W143">
        <v>4.8</v>
      </c>
      <c r="X143" t="s">
        <v>500</v>
      </c>
      <c r="Y143" t="s">
        <v>701</v>
      </c>
      <c r="Z143" s="1">
        <v>45852</v>
      </c>
      <c r="AA143" s="1">
        <f>Table1[[#This Row],[Admission_Date]]+Table1[[#This Row],[Length_of_Stay]]</f>
        <v>45852</v>
      </c>
      <c r="AB143" t="str">
        <f t="shared" ca="1" si="17"/>
        <v>N/A</v>
      </c>
      <c r="AC143" t="str">
        <f ca="1">IF(AB143="General Ward","GW"&amp;TEXT(COUNTIF($AB$2:AB143,"General Ward"),"000"),IF(AB143="Semi Private","SP"&amp;TEXT(COUNTIF($AB$2:AB143,"Semi Private"),"000"),IF(AB143="Private Room","PR"&amp;TEXT(COUNTIF($AB$2:AB143,"Private Room"),"000"),IF(AB143="ICU","ICU"&amp;TEXT(COUNTIF($AB$2:AB143,"ICU"),"000"),"N/A"))))</f>
        <v>N/A</v>
      </c>
      <c r="AD143" t="str">
        <f t="shared" ca="1" si="20"/>
        <v>Not Admitted</v>
      </c>
      <c r="AE143" s="2" t="str">
        <f t="shared" ca="1" si="18"/>
        <v>N/A</v>
      </c>
    </row>
    <row r="144" spans="1:31" x14ac:dyDescent="0.3">
      <c r="A144" t="s">
        <v>294</v>
      </c>
      <c r="B144" t="s">
        <v>203</v>
      </c>
      <c r="C144" t="s">
        <v>22</v>
      </c>
      <c r="D144">
        <v>61</v>
      </c>
      <c r="E144" t="str" cm="1">
        <f t="array" aca="1" ref="E144" ca="1">_xlfn.IFS(
H144="Cardiology",CHOOSE(RANDBETWEEN(1,6),"Hypertension","Arrhythmia","Angina","Heart Failure","Chest Pain","Coronary Artery Disease"),
H144="General Medicine",CHOOSE(RANDBETWEEN(1,6),"Viral Fever","Influenza","Diabetes","Gastritis","Typhoid","Food Poisoning"),
H144="Orthopedics",CHOOSE(RANDBETWEEN(1,6),"Fracture","Arthritis","Back Pain","Joint Pain","Knee Injury","Shoulder Dislocation"),
H144="Neurology",CHOOSE(RANDBETWEEN(1,6),"Migraine","Stroke","Epilepsy","Vertigo","Parkinson's Disease","Peripheral Neuropathy"),
H144="Pediatrics",CHOOSE(RANDBETWEEN(1,6),"Common Cold","Asthma","Pneumonia","Ear Infection","Viral Fever","Stomach Infection"),
H144="Dermatology",CHOOSE(RANDBETWEEN(1,6),"Acne","Eczema","Psoriasis","Fungal Infection","Heat Rash","Contact Dermatitis"),
H144="ENT",CHOOSE(RANDBETWEEN(1,6),"Sinusitis","Tonsillitis","Ear Infection","Throat Infection","Allergic Rhinitis","Otitis Media"),
H144="Gynecology",CHOOSE(RANDBETWEEN(1,6),"PCOS","UTI","Pregnancy Checkup","Menstrual Disorder","Ovarian Cyst","Endometriosis")
)</f>
        <v>Migraine</v>
      </c>
      <c r="F144" t="str" cm="1">
        <f t="array" ref="F144">_xlfn.SWITCH(K144,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44" t="s">
        <v>40</v>
      </c>
      <c r="H144" t="s">
        <v>54</v>
      </c>
      <c r="I144" t="s">
        <v>160</v>
      </c>
      <c r="J144" s="1">
        <v>45853</v>
      </c>
      <c r="K144" t="str">
        <f t="shared" si="19"/>
        <v>July</v>
      </c>
      <c r="L144">
        <f t="shared" si="16"/>
        <v>7</v>
      </c>
      <c r="M144" t="s">
        <v>26</v>
      </c>
      <c r="N144" t="s">
        <v>36</v>
      </c>
      <c r="O144">
        <v>2200</v>
      </c>
      <c r="P144">
        <v>8800</v>
      </c>
      <c r="Q144">
        <v>4300</v>
      </c>
      <c r="R144">
        <v>25000</v>
      </c>
      <c r="S144" t="s">
        <v>37</v>
      </c>
      <c r="T144" t="s">
        <v>15</v>
      </c>
      <c r="U144">
        <v>40300</v>
      </c>
      <c r="V144">
        <v>6</v>
      </c>
      <c r="W144">
        <v>5</v>
      </c>
      <c r="X144" t="s">
        <v>501</v>
      </c>
      <c r="Y144" t="s">
        <v>702</v>
      </c>
      <c r="Z144" s="1">
        <v>45853</v>
      </c>
      <c r="AA144" s="1">
        <f>Table1[[#This Row],[Admission_Date]]+Table1[[#This Row],[Length_of_Stay]]</f>
        <v>45859</v>
      </c>
      <c r="AB144" t="str">
        <f t="shared" ca="1" si="17"/>
        <v>Semi Private</v>
      </c>
      <c r="AC144" t="str">
        <f ca="1">IF(AB144="General Ward","GW"&amp;TEXT(COUNTIF($AB$2:AB144,"General Ward"),"000"),IF(AB144="Semi Private","SP"&amp;TEXT(COUNTIF($AB$2:AB144,"Semi Private"),"000"),IF(AB144="Private Room","PR"&amp;TEXT(COUNTIF($AB$2:AB144,"Private Room"),"000"),IF(AB144="ICU","ICU"&amp;TEXT(COUNTIF($AB$2:AB144,"ICU"),"000"),"N/A"))))</f>
        <v>SP017</v>
      </c>
      <c r="AD144" t="str">
        <f t="shared" ca="1" si="20"/>
        <v>Occupied</v>
      </c>
      <c r="AE144" s="2" t="str">
        <f t="shared" ca="1" si="18"/>
        <v>Emergency</v>
      </c>
    </row>
    <row r="145" spans="1:31" x14ac:dyDescent="0.3">
      <c r="A145" t="s">
        <v>295</v>
      </c>
      <c r="B145" t="s">
        <v>31</v>
      </c>
      <c r="C145" t="s">
        <v>32</v>
      </c>
      <c r="D145">
        <v>9</v>
      </c>
      <c r="E145" t="str" cm="1">
        <f t="array" aca="1" ref="E145" ca="1">_xlfn.IFS(
H145="Cardiology",CHOOSE(RANDBETWEEN(1,6),"Hypertension","Arrhythmia","Angina","Heart Failure","Chest Pain","Coronary Artery Disease"),
H145="General Medicine",CHOOSE(RANDBETWEEN(1,6),"Viral Fever","Influenza","Diabetes","Gastritis","Typhoid","Food Poisoning"),
H145="Orthopedics",CHOOSE(RANDBETWEEN(1,6),"Fracture","Arthritis","Back Pain","Joint Pain","Knee Injury","Shoulder Dislocation"),
H145="Neurology",CHOOSE(RANDBETWEEN(1,6),"Migraine","Stroke","Epilepsy","Vertigo","Parkinson's Disease","Peripheral Neuropathy"),
H145="Pediatrics",CHOOSE(RANDBETWEEN(1,6),"Common Cold","Asthma","Pneumonia","Ear Infection","Viral Fever","Stomach Infection"),
H145="Dermatology",CHOOSE(RANDBETWEEN(1,6),"Acne","Eczema","Psoriasis","Fungal Infection","Heat Rash","Contact Dermatitis"),
H145="ENT",CHOOSE(RANDBETWEEN(1,6),"Sinusitis","Tonsillitis","Ear Infection","Throat Infection","Allergic Rhinitis","Otitis Media"),
H145="Gynecology",CHOOSE(RANDBETWEEN(1,6),"PCOS","UTI","Pregnancy Checkup","Menstrual Disorder","Ovarian Cyst","Endometriosis")
)</f>
        <v>Viral Fever</v>
      </c>
      <c r="F145" t="str" cm="1">
        <f t="array" ref="F145">_xlfn.SWITCH(K145,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45" t="s">
        <v>33</v>
      </c>
      <c r="H145" t="s">
        <v>48</v>
      </c>
      <c r="I145" t="s">
        <v>156</v>
      </c>
      <c r="J145" s="1">
        <v>45854</v>
      </c>
      <c r="K145" t="str">
        <f t="shared" si="19"/>
        <v>July</v>
      </c>
      <c r="L145">
        <f t="shared" si="16"/>
        <v>7</v>
      </c>
      <c r="M145" t="s">
        <v>26</v>
      </c>
      <c r="N145" t="s">
        <v>27</v>
      </c>
      <c r="O145">
        <v>700</v>
      </c>
      <c r="P145">
        <v>400</v>
      </c>
      <c r="Q145">
        <v>300</v>
      </c>
      <c r="R145">
        <v>0</v>
      </c>
      <c r="S145" t="s">
        <v>28</v>
      </c>
      <c r="T145" t="s">
        <v>44</v>
      </c>
      <c r="U145">
        <v>1400</v>
      </c>
      <c r="V145">
        <v>0</v>
      </c>
      <c r="W145">
        <v>4.9000000000000004</v>
      </c>
      <c r="X145" t="s">
        <v>502</v>
      </c>
      <c r="Y145" t="s">
        <v>703</v>
      </c>
      <c r="Z145" s="1">
        <v>45854</v>
      </c>
      <c r="AA145" s="1">
        <f>Table1[[#This Row],[Admission_Date]]+Table1[[#This Row],[Length_of_Stay]]</f>
        <v>45854</v>
      </c>
      <c r="AB145" t="str">
        <f t="shared" ca="1" si="17"/>
        <v>N/A</v>
      </c>
      <c r="AC145" t="str">
        <f ca="1">IF(AB145="General Ward","GW"&amp;TEXT(COUNTIF($AB$2:AB145,"General Ward"),"000"),IF(AB145="Semi Private","SP"&amp;TEXT(COUNTIF($AB$2:AB145,"Semi Private"),"000"),IF(AB145="Private Room","PR"&amp;TEXT(COUNTIF($AB$2:AB145,"Private Room"),"000"),IF(AB145="ICU","ICU"&amp;TEXT(COUNTIF($AB$2:AB145,"ICU"),"000"),"N/A"))))</f>
        <v>N/A</v>
      </c>
      <c r="AD145" t="str">
        <f t="shared" ca="1" si="20"/>
        <v>Not Admitted</v>
      </c>
      <c r="AE145" s="2" t="str">
        <f t="shared" ca="1" si="18"/>
        <v>N/A</v>
      </c>
    </row>
    <row r="146" spans="1:31" x14ac:dyDescent="0.3">
      <c r="A146" t="s">
        <v>296</v>
      </c>
      <c r="B146" t="s">
        <v>153</v>
      </c>
      <c r="C146" t="s">
        <v>22</v>
      </c>
      <c r="D146">
        <v>53</v>
      </c>
      <c r="E146" t="str" cm="1">
        <f t="array" aca="1" ref="E146" ca="1">_xlfn.IFS(
H146="Cardiology",CHOOSE(RANDBETWEEN(1,6),"Hypertension","Arrhythmia","Angina","Heart Failure","Chest Pain","Coronary Artery Disease"),
H146="General Medicine",CHOOSE(RANDBETWEEN(1,6),"Viral Fever","Influenza","Diabetes","Gastritis","Typhoid","Food Poisoning"),
H146="Orthopedics",CHOOSE(RANDBETWEEN(1,6),"Fracture","Arthritis","Back Pain","Joint Pain","Knee Injury","Shoulder Dislocation"),
H146="Neurology",CHOOSE(RANDBETWEEN(1,6),"Migraine","Stroke","Epilepsy","Vertigo","Parkinson's Disease","Peripheral Neuropathy"),
H146="Pediatrics",CHOOSE(RANDBETWEEN(1,6),"Common Cold","Asthma","Pneumonia","Ear Infection","Viral Fever","Stomach Infection"),
H146="Dermatology",CHOOSE(RANDBETWEEN(1,6),"Acne","Eczema","Psoriasis","Fungal Infection","Heat Rash","Contact Dermatitis"),
H146="ENT",CHOOSE(RANDBETWEEN(1,6),"Sinusitis","Tonsillitis","Ear Infection","Throat Infection","Allergic Rhinitis","Otitis Media"),
H146="Gynecology",CHOOSE(RANDBETWEEN(1,6),"PCOS","UTI","Pregnancy Checkup","Menstrual Disorder","Ovarian Cyst","Endometriosis")
)</f>
        <v>Knee Injury</v>
      </c>
      <c r="F146" t="str" cm="1">
        <f t="array" ref="F146">_xlfn.SWITCH(K146,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46" t="s">
        <v>53</v>
      </c>
      <c r="H146" t="s">
        <v>41</v>
      </c>
      <c r="I146" t="s">
        <v>81</v>
      </c>
      <c r="J146" s="1">
        <v>45855</v>
      </c>
      <c r="K146" t="str">
        <f t="shared" si="19"/>
        <v>July</v>
      </c>
      <c r="L146">
        <f t="shared" si="16"/>
        <v>7</v>
      </c>
      <c r="M146" t="s">
        <v>26</v>
      </c>
      <c r="N146" t="s">
        <v>36</v>
      </c>
      <c r="O146">
        <v>1800</v>
      </c>
      <c r="P146">
        <v>6000</v>
      </c>
      <c r="Q146">
        <v>3200</v>
      </c>
      <c r="R146">
        <v>20000</v>
      </c>
      <c r="S146" t="s">
        <v>37</v>
      </c>
      <c r="T146" t="s">
        <v>15</v>
      </c>
      <c r="U146">
        <v>31000</v>
      </c>
      <c r="V146">
        <v>5</v>
      </c>
      <c r="W146">
        <v>4.8</v>
      </c>
      <c r="X146" t="s">
        <v>503</v>
      </c>
      <c r="Y146" t="s">
        <v>704</v>
      </c>
      <c r="Z146" s="1">
        <v>45855</v>
      </c>
      <c r="AA146" s="1">
        <f>Table1[[#This Row],[Admission_Date]]+Table1[[#This Row],[Length_of_Stay]]</f>
        <v>45860</v>
      </c>
      <c r="AB146" t="str">
        <f t="shared" ca="1" si="17"/>
        <v>Semi Private</v>
      </c>
      <c r="AC146" t="str">
        <f ca="1">IF(AB146="General Ward","GW"&amp;TEXT(COUNTIF($AB$2:AB146,"General Ward"),"000"),IF(AB146="Semi Private","SP"&amp;TEXT(COUNTIF($AB$2:AB146,"Semi Private"),"000"),IF(AB146="Private Room","PR"&amp;TEXT(COUNTIF($AB$2:AB146,"Private Room"),"000"),IF(AB146="ICU","ICU"&amp;TEXT(COUNTIF($AB$2:AB146,"ICU"),"000"),"N/A"))))</f>
        <v>SP018</v>
      </c>
      <c r="AD146" t="str">
        <f t="shared" ca="1" si="20"/>
        <v>Occupied</v>
      </c>
      <c r="AE146" s="2" t="str">
        <f t="shared" ca="1" si="18"/>
        <v>Referral</v>
      </c>
    </row>
    <row r="147" spans="1:31" x14ac:dyDescent="0.3">
      <c r="A147" t="s">
        <v>297</v>
      </c>
      <c r="B147" t="s">
        <v>174</v>
      </c>
      <c r="C147" t="s">
        <v>32</v>
      </c>
      <c r="D147">
        <v>34</v>
      </c>
      <c r="E147" t="str" cm="1">
        <f t="array" aca="1" ref="E147" ca="1">_xlfn.IFS(
H147="Cardiology",CHOOSE(RANDBETWEEN(1,6),"Hypertension","Arrhythmia","Angina","Heart Failure","Chest Pain","Coronary Artery Disease"),
H147="General Medicine",CHOOSE(RANDBETWEEN(1,6),"Viral Fever","Influenza","Diabetes","Gastritis","Typhoid","Food Poisoning"),
H147="Orthopedics",CHOOSE(RANDBETWEEN(1,6),"Fracture","Arthritis","Back Pain","Joint Pain","Knee Injury","Shoulder Dislocation"),
H147="Neurology",CHOOSE(RANDBETWEEN(1,6),"Migraine","Stroke","Epilepsy","Vertigo","Parkinson's Disease","Peripheral Neuropathy"),
H147="Pediatrics",CHOOSE(RANDBETWEEN(1,6),"Common Cold","Asthma","Pneumonia","Ear Infection","Viral Fever","Stomach Infection"),
H147="Dermatology",CHOOSE(RANDBETWEEN(1,6),"Acne","Eczema","Psoriasis","Fungal Infection","Heat Rash","Contact Dermatitis"),
H147="ENT",CHOOSE(RANDBETWEEN(1,6),"Sinusitis","Tonsillitis","Ear Infection","Throat Infection","Allergic Rhinitis","Otitis Media"),
H147="Gynecology",CHOOSE(RANDBETWEEN(1,6),"PCOS","UTI","Pregnancy Checkup","Menstrual Disorder","Ovarian Cyst","Endometriosis")
)</f>
        <v>Pregnancy Checkup</v>
      </c>
      <c r="F147" t="str" cm="1">
        <f t="array" ref="F147">_xlfn.SWITCH(K147,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47" t="s">
        <v>68</v>
      </c>
      <c r="H147" t="s">
        <v>34</v>
      </c>
      <c r="I147" t="s">
        <v>35</v>
      </c>
      <c r="J147" s="1">
        <v>45856</v>
      </c>
      <c r="K147" t="str">
        <f t="shared" si="19"/>
        <v>July</v>
      </c>
      <c r="L147">
        <f t="shared" si="16"/>
        <v>7</v>
      </c>
      <c r="M147" t="s">
        <v>26</v>
      </c>
      <c r="N147" t="s">
        <v>27</v>
      </c>
      <c r="O147">
        <v>1200</v>
      </c>
      <c r="P147">
        <v>900</v>
      </c>
      <c r="Q147">
        <v>700</v>
      </c>
      <c r="R147">
        <v>0</v>
      </c>
      <c r="S147" t="s">
        <v>28</v>
      </c>
      <c r="T147" t="s">
        <v>29</v>
      </c>
      <c r="U147">
        <v>2800</v>
      </c>
      <c r="V147">
        <v>0</v>
      </c>
      <c r="W147">
        <v>4.7</v>
      </c>
      <c r="X147" t="s">
        <v>504</v>
      </c>
      <c r="Y147" t="s">
        <v>705</v>
      </c>
      <c r="Z147" s="1">
        <v>45856</v>
      </c>
      <c r="AA147" s="1">
        <f>Table1[[#This Row],[Admission_Date]]+Table1[[#This Row],[Length_of_Stay]]</f>
        <v>45856</v>
      </c>
      <c r="AB147" t="str">
        <f t="shared" ca="1" si="17"/>
        <v>N/A</v>
      </c>
      <c r="AC147" t="str">
        <f ca="1">IF(AB147="General Ward","GW"&amp;TEXT(COUNTIF($AB$2:AB147,"General Ward"),"000"),IF(AB147="Semi Private","SP"&amp;TEXT(COUNTIF($AB$2:AB147,"Semi Private"),"000"),IF(AB147="Private Room","PR"&amp;TEXT(COUNTIF($AB$2:AB147,"Private Room"),"000"),IF(AB147="ICU","ICU"&amp;TEXT(COUNTIF($AB$2:AB147,"ICU"),"000"),"N/A"))))</f>
        <v>N/A</v>
      </c>
      <c r="AD147" t="str">
        <f t="shared" ca="1" si="20"/>
        <v>Not Admitted</v>
      </c>
      <c r="AE147" s="2" t="str">
        <f t="shared" ca="1" si="18"/>
        <v>N/A</v>
      </c>
    </row>
    <row r="148" spans="1:31" x14ac:dyDescent="0.3">
      <c r="A148" t="s">
        <v>298</v>
      </c>
      <c r="B148" t="s">
        <v>299</v>
      </c>
      <c r="C148" t="s">
        <v>22</v>
      </c>
      <c r="D148">
        <v>40</v>
      </c>
      <c r="E148" t="str" cm="1">
        <f t="array" aca="1" ref="E148" ca="1">_xlfn.IFS(
H148="Cardiology",CHOOSE(RANDBETWEEN(1,6),"Hypertension","Arrhythmia","Angina","Heart Failure","Chest Pain","Coronary Artery Disease"),
H148="General Medicine",CHOOSE(RANDBETWEEN(1,6),"Viral Fever","Influenza","Diabetes","Gastritis","Typhoid","Food Poisoning"),
H148="Orthopedics",CHOOSE(RANDBETWEEN(1,6),"Fracture","Arthritis","Back Pain","Joint Pain","Knee Injury","Shoulder Dislocation"),
H148="Neurology",CHOOSE(RANDBETWEEN(1,6),"Migraine","Stroke","Epilepsy","Vertigo","Parkinson's Disease","Peripheral Neuropathy"),
H148="Pediatrics",CHOOSE(RANDBETWEEN(1,6),"Common Cold","Asthma","Pneumonia","Ear Infection","Viral Fever","Stomach Infection"),
H148="Dermatology",CHOOSE(RANDBETWEEN(1,6),"Acne","Eczema","Psoriasis","Fungal Infection","Heat Rash","Contact Dermatitis"),
H148="ENT",CHOOSE(RANDBETWEEN(1,6),"Sinusitis","Tonsillitis","Ear Infection","Throat Infection","Allergic Rhinitis","Otitis Media"),
H148="Gynecology",CHOOSE(RANDBETWEEN(1,6),"PCOS","UTI","Pregnancy Checkup","Menstrual Disorder","Ovarian Cyst","Endometriosis")
)</f>
        <v>Otitis Media</v>
      </c>
      <c r="F148" t="str" cm="1">
        <f t="array" ref="F148">_xlfn.SWITCH(K148,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48" t="s">
        <v>72</v>
      </c>
      <c r="H148" t="s">
        <v>64</v>
      </c>
      <c r="I148" t="s">
        <v>65</v>
      </c>
      <c r="J148" s="1">
        <v>45857</v>
      </c>
      <c r="K148" t="str">
        <f t="shared" si="19"/>
        <v>July</v>
      </c>
      <c r="L148">
        <f t="shared" si="16"/>
        <v>7</v>
      </c>
      <c r="M148" t="s">
        <v>26</v>
      </c>
      <c r="N148" t="s">
        <v>27</v>
      </c>
      <c r="O148">
        <v>1000</v>
      </c>
      <c r="P148">
        <v>800</v>
      </c>
      <c r="Q148">
        <v>600</v>
      </c>
      <c r="R148">
        <v>0</v>
      </c>
      <c r="S148" t="s">
        <v>28</v>
      </c>
      <c r="T148" t="s">
        <v>50</v>
      </c>
      <c r="U148">
        <v>2400</v>
      </c>
      <c r="V148">
        <v>0</v>
      </c>
      <c r="W148">
        <v>4.5999999999999996</v>
      </c>
      <c r="X148" t="s">
        <v>505</v>
      </c>
      <c r="Y148" t="s">
        <v>706</v>
      </c>
      <c r="Z148" s="1">
        <v>45857</v>
      </c>
      <c r="AA148" s="1">
        <f>Table1[[#This Row],[Admission_Date]]+Table1[[#This Row],[Length_of_Stay]]</f>
        <v>45857</v>
      </c>
      <c r="AB148" t="str">
        <f t="shared" ca="1" si="17"/>
        <v>N/A</v>
      </c>
      <c r="AC148" t="str">
        <f ca="1">IF(AB148="General Ward","GW"&amp;TEXT(COUNTIF($AB$2:AB148,"General Ward"),"000"),IF(AB148="Semi Private","SP"&amp;TEXT(COUNTIF($AB$2:AB148,"Semi Private"),"000"),IF(AB148="Private Room","PR"&amp;TEXT(COUNTIF($AB$2:AB148,"Private Room"),"000"),IF(AB148="ICU","ICU"&amp;TEXT(COUNTIF($AB$2:AB148,"ICU"),"000"),"N/A"))))</f>
        <v>N/A</v>
      </c>
      <c r="AD148" t="str">
        <f t="shared" ca="1" si="20"/>
        <v>Not Admitted</v>
      </c>
      <c r="AE148" s="2" t="str">
        <f t="shared" ca="1" si="18"/>
        <v>N/A</v>
      </c>
    </row>
    <row r="149" spans="1:31" x14ac:dyDescent="0.3">
      <c r="A149" t="s">
        <v>300</v>
      </c>
      <c r="B149" t="s">
        <v>83</v>
      </c>
      <c r="C149" t="s">
        <v>32</v>
      </c>
      <c r="D149">
        <v>30</v>
      </c>
      <c r="E149" t="str" cm="1">
        <f t="array" aca="1" ref="E149" ca="1">_xlfn.IFS(
H149="Cardiology",CHOOSE(RANDBETWEEN(1,6),"Hypertension","Arrhythmia","Angina","Heart Failure","Chest Pain","Coronary Artery Disease"),
H149="General Medicine",CHOOSE(RANDBETWEEN(1,6),"Viral Fever","Influenza","Diabetes","Gastritis","Typhoid","Food Poisoning"),
H149="Orthopedics",CHOOSE(RANDBETWEEN(1,6),"Fracture","Arthritis","Back Pain","Joint Pain","Knee Injury","Shoulder Dislocation"),
H149="Neurology",CHOOSE(RANDBETWEEN(1,6),"Migraine","Stroke","Epilepsy","Vertigo","Parkinson's Disease","Peripheral Neuropathy"),
H149="Pediatrics",CHOOSE(RANDBETWEEN(1,6),"Common Cold","Asthma","Pneumonia","Ear Infection","Viral Fever","Stomach Infection"),
H149="Dermatology",CHOOSE(RANDBETWEEN(1,6),"Acne","Eczema","Psoriasis","Fungal Infection","Heat Rash","Contact Dermatitis"),
H149="ENT",CHOOSE(RANDBETWEEN(1,6),"Sinusitis","Tonsillitis","Ear Infection","Throat Infection","Allergic Rhinitis","Otitis Media"),
H149="Gynecology",CHOOSE(RANDBETWEEN(1,6),"PCOS","UTI","Pregnancy Checkup","Menstrual Disorder","Ovarian Cyst","Endometriosis")
)</f>
        <v>Heart Failure</v>
      </c>
      <c r="F149" t="str" cm="1">
        <f t="array" ref="F149">_xlfn.SWITCH(K149,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49" t="s">
        <v>63</v>
      </c>
      <c r="H149" t="s">
        <v>24</v>
      </c>
      <c r="I149" t="s">
        <v>25</v>
      </c>
      <c r="J149" s="1">
        <v>45858</v>
      </c>
      <c r="K149" t="str">
        <f t="shared" si="19"/>
        <v>July</v>
      </c>
      <c r="L149">
        <f t="shared" si="16"/>
        <v>7</v>
      </c>
      <c r="M149" t="s">
        <v>43</v>
      </c>
      <c r="N149" t="s">
        <v>27</v>
      </c>
      <c r="O149">
        <v>1300</v>
      </c>
      <c r="P149">
        <v>1200</v>
      </c>
      <c r="Q149">
        <v>900</v>
      </c>
      <c r="R149">
        <v>0</v>
      </c>
      <c r="S149" t="s">
        <v>28</v>
      </c>
      <c r="T149" t="s">
        <v>44</v>
      </c>
      <c r="U149">
        <v>3400</v>
      </c>
      <c r="V149">
        <v>0</v>
      </c>
      <c r="W149">
        <v>4.2</v>
      </c>
      <c r="X149" t="s">
        <v>506</v>
      </c>
      <c r="Y149" t="s">
        <v>707</v>
      </c>
      <c r="Z149" s="1">
        <v>45858</v>
      </c>
      <c r="AA149" s="1">
        <f>Table1[[#This Row],[Admission_Date]]+Table1[[#This Row],[Length_of_Stay]]</f>
        <v>45858</v>
      </c>
      <c r="AB149" t="str">
        <f t="shared" ca="1" si="17"/>
        <v>N/A</v>
      </c>
      <c r="AC149" t="str">
        <f ca="1">IF(AB149="General Ward","GW"&amp;TEXT(COUNTIF($AB$2:AB149,"General Ward"),"000"),IF(AB149="Semi Private","SP"&amp;TEXT(COUNTIF($AB$2:AB149,"Semi Private"),"000"),IF(AB149="Private Room","PR"&amp;TEXT(COUNTIF($AB$2:AB149,"Private Room"),"000"),IF(AB149="ICU","ICU"&amp;TEXT(COUNTIF($AB$2:AB149,"ICU"),"000"),"N/A"))))</f>
        <v>N/A</v>
      </c>
      <c r="AD149" t="str">
        <f t="shared" ca="1" si="20"/>
        <v>Not Admitted</v>
      </c>
      <c r="AE149" s="2" t="str">
        <f t="shared" ca="1" si="18"/>
        <v>N/A</v>
      </c>
    </row>
    <row r="150" spans="1:31" x14ac:dyDescent="0.3">
      <c r="A150" t="s">
        <v>301</v>
      </c>
      <c r="B150" t="s">
        <v>229</v>
      </c>
      <c r="C150" t="s">
        <v>22</v>
      </c>
      <c r="D150">
        <v>58</v>
      </c>
      <c r="E150" t="str" cm="1">
        <f t="array" aca="1" ref="E150" ca="1">_xlfn.IFS(
H150="Cardiology",CHOOSE(RANDBETWEEN(1,6),"Hypertension","Arrhythmia","Angina","Heart Failure","Chest Pain","Coronary Artery Disease"),
H150="General Medicine",CHOOSE(RANDBETWEEN(1,6),"Viral Fever","Influenza","Diabetes","Gastritis","Typhoid","Food Poisoning"),
H150="Orthopedics",CHOOSE(RANDBETWEEN(1,6),"Fracture","Arthritis","Back Pain","Joint Pain","Knee Injury","Shoulder Dislocation"),
H150="Neurology",CHOOSE(RANDBETWEEN(1,6),"Migraine","Stroke","Epilepsy","Vertigo","Parkinson's Disease","Peripheral Neuropathy"),
H150="Pediatrics",CHOOSE(RANDBETWEEN(1,6),"Common Cold","Asthma","Pneumonia","Ear Infection","Viral Fever","Stomach Infection"),
H150="Dermatology",CHOOSE(RANDBETWEEN(1,6),"Acne","Eczema","Psoriasis","Fungal Infection","Heat Rash","Contact Dermatitis"),
H150="ENT",CHOOSE(RANDBETWEEN(1,6),"Sinusitis","Tonsillitis","Ear Infection","Throat Infection","Allergic Rhinitis","Otitis Media"),
H150="Gynecology",CHOOSE(RANDBETWEEN(1,6),"PCOS","UTI","Pregnancy Checkup","Menstrual Disorder","Ovarian Cyst","Endometriosis")
)</f>
        <v>Food Poisoning</v>
      </c>
      <c r="F150" t="str" cm="1">
        <f t="array" ref="F150">_xlfn.SWITCH(K150,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50" t="s">
        <v>77</v>
      </c>
      <c r="H150" t="s">
        <v>73</v>
      </c>
      <c r="I150" t="s">
        <v>105</v>
      </c>
      <c r="J150" s="1">
        <v>45859</v>
      </c>
      <c r="K150" t="str">
        <f t="shared" si="19"/>
        <v>July</v>
      </c>
      <c r="L150">
        <f t="shared" si="16"/>
        <v>7</v>
      </c>
      <c r="M150" t="s">
        <v>26</v>
      </c>
      <c r="N150" t="s">
        <v>36</v>
      </c>
      <c r="O150">
        <v>1800</v>
      </c>
      <c r="P150">
        <v>6500</v>
      </c>
      <c r="Q150">
        <v>3000</v>
      </c>
      <c r="R150">
        <v>22000</v>
      </c>
      <c r="S150" t="s">
        <v>37</v>
      </c>
      <c r="T150" t="s">
        <v>15</v>
      </c>
      <c r="U150">
        <v>33300</v>
      </c>
      <c r="V150">
        <v>5</v>
      </c>
      <c r="W150">
        <v>4.9000000000000004</v>
      </c>
      <c r="X150" t="s">
        <v>507</v>
      </c>
      <c r="Y150" t="s">
        <v>708</v>
      </c>
      <c r="Z150" s="1">
        <v>45859</v>
      </c>
      <c r="AA150" s="1">
        <f>Table1[[#This Row],[Admission_Date]]+Table1[[#This Row],[Length_of_Stay]]</f>
        <v>45864</v>
      </c>
      <c r="AB150" t="str">
        <f t="shared" ca="1" si="17"/>
        <v>General Ward</v>
      </c>
      <c r="AC150" t="str">
        <f ca="1">IF(AB150="General Ward","GW"&amp;TEXT(COUNTIF($AB$2:AB150,"General Ward"),"000"),IF(AB150="Semi Private","SP"&amp;TEXT(COUNTIF($AB$2:AB150,"Semi Private"),"000"),IF(AB150="Private Room","PR"&amp;TEXT(COUNTIF($AB$2:AB150,"Private Room"),"000"),IF(AB150="ICU","ICU"&amp;TEXT(COUNTIF($AB$2:AB150,"ICU"),"000"),"N/A"))))</f>
        <v>GW007</v>
      </c>
      <c r="AD150" t="str">
        <f t="shared" ca="1" si="20"/>
        <v>Available</v>
      </c>
      <c r="AE150" s="2" t="str">
        <f t="shared" ca="1" si="18"/>
        <v>Emergency</v>
      </c>
    </row>
    <row r="151" spans="1:31" x14ac:dyDescent="0.3">
      <c r="A151" t="s">
        <v>302</v>
      </c>
      <c r="B151" t="s">
        <v>67</v>
      </c>
      <c r="C151" t="s">
        <v>32</v>
      </c>
      <c r="D151">
        <v>36</v>
      </c>
      <c r="E151" t="str" cm="1">
        <f t="array" aca="1" ref="E151" ca="1">_xlfn.IFS(
H151="Cardiology",CHOOSE(RANDBETWEEN(1,6),"Hypertension","Arrhythmia","Angina","Heart Failure","Chest Pain","Coronary Artery Disease"),
H151="General Medicine",CHOOSE(RANDBETWEEN(1,6),"Viral Fever","Influenza","Diabetes","Gastritis","Typhoid","Food Poisoning"),
H151="Orthopedics",CHOOSE(RANDBETWEEN(1,6),"Fracture","Arthritis","Back Pain","Joint Pain","Knee Injury","Shoulder Dislocation"),
H151="Neurology",CHOOSE(RANDBETWEEN(1,6),"Migraine","Stroke","Epilepsy","Vertigo","Parkinson's Disease","Peripheral Neuropathy"),
H151="Pediatrics",CHOOSE(RANDBETWEEN(1,6),"Common Cold","Asthma","Pneumonia","Ear Infection","Viral Fever","Stomach Infection"),
H151="Dermatology",CHOOSE(RANDBETWEEN(1,6),"Acne","Eczema","Psoriasis","Fungal Infection","Heat Rash","Contact Dermatitis"),
H151="ENT",CHOOSE(RANDBETWEEN(1,6),"Sinusitis","Tonsillitis","Ear Infection","Throat Infection","Allergic Rhinitis","Otitis Media"),
H151="Gynecology",CHOOSE(RANDBETWEEN(1,6),"PCOS","UTI","Pregnancy Checkup","Menstrual Disorder","Ovarian Cyst","Endometriosis")
)</f>
        <v>Fungal Infection</v>
      </c>
      <c r="F151" t="str" cm="1">
        <f t="array" ref="F151">_xlfn.SWITCH(K151,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51" t="s">
        <v>23</v>
      </c>
      <c r="H151" t="s">
        <v>58</v>
      </c>
      <c r="I151" t="s">
        <v>84</v>
      </c>
      <c r="J151" s="1">
        <v>45860</v>
      </c>
      <c r="K151" t="str">
        <f t="shared" si="19"/>
        <v>July</v>
      </c>
      <c r="L151">
        <f t="shared" si="16"/>
        <v>7</v>
      </c>
      <c r="M151" t="s">
        <v>26</v>
      </c>
      <c r="N151" t="s">
        <v>27</v>
      </c>
      <c r="O151">
        <v>900</v>
      </c>
      <c r="P151">
        <v>700</v>
      </c>
      <c r="Q151">
        <v>500</v>
      </c>
      <c r="R151">
        <v>0</v>
      </c>
      <c r="S151" t="s">
        <v>28</v>
      </c>
      <c r="T151" t="s">
        <v>29</v>
      </c>
      <c r="U151">
        <v>2100</v>
      </c>
      <c r="V151">
        <v>0</v>
      </c>
      <c r="W151">
        <v>4.8</v>
      </c>
      <c r="X151" t="s">
        <v>508</v>
      </c>
      <c r="Y151" t="s">
        <v>709</v>
      </c>
      <c r="Z151" s="1">
        <v>45860</v>
      </c>
      <c r="AA151" s="1">
        <f>Table1[[#This Row],[Admission_Date]]+Table1[[#This Row],[Length_of_Stay]]</f>
        <v>45860</v>
      </c>
      <c r="AB151" t="str">
        <f t="shared" ca="1" si="17"/>
        <v>N/A</v>
      </c>
      <c r="AC151" t="str">
        <f ca="1">IF(AB151="General Ward","GW"&amp;TEXT(COUNTIF($AB$2:AB151,"General Ward"),"000"),IF(AB151="Semi Private","SP"&amp;TEXT(COUNTIF($AB$2:AB151,"Semi Private"),"000"),IF(AB151="Private Room","PR"&amp;TEXT(COUNTIF($AB$2:AB151,"Private Room"),"000"),IF(AB151="ICU","ICU"&amp;TEXT(COUNTIF($AB$2:AB151,"ICU"),"000"),"N/A"))))</f>
        <v>N/A</v>
      </c>
      <c r="AD151" t="str">
        <f t="shared" ca="1" si="20"/>
        <v>Not Admitted</v>
      </c>
      <c r="AE151" s="2" t="str">
        <f t="shared" ca="1" si="18"/>
        <v>N/A</v>
      </c>
    </row>
    <row r="152" spans="1:31" x14ac:dyDescent="0.3">
      <c r="A152" t="s">
        <v>303</v>
      </c>
      <c r="B152" t="s">
        <v>162</v>
      </c>
      <c r="C152" t="s">
        <v>22</v>
      </c>
      <c r="D152">
        <v>46</v>
      </c>
      <c r="E152" t="str" cm="1">
        <f t="array" aca="1" ref="E152" ca="1">_xlfn.IFS(
H152="Cardiology",CHOOSE(RANDBETWEEN(1,6),"Hypertension","Arrhythmia","Angina","Heart Failure","Chest Pain","Coronary Artery Disease"),
H152="General Medicine",CHOOSE(RANDBETWEEN(1,6),"Viral Fever","Influenza","Diabetes","Gastritis","Typhoid","Food Poisoning"),
H152="Orthopedics",CHOOSE(RANDBETWEEN(1,6),"Fracture","Arthritis","Back Pain","Joint Pain","Knee Injury","Shoulder Dislocation"),
H152="Neurology",CHOOSE(RANDBETWEEN(1,6),"Migraine","Stroke","Epilepsy","Vertigo","Parkinson's Disease","Peripheral Neuropathy"),
H152="Pediatrics",CHOOSE(RANDBETWEEN(1,6),"Common Cold","Asthma","Pneumonia","Ear Infection","Viral Fever","Stomach Infection"),
H152="Dermatology",CHOOSE(RANDBETWEEN(1,6),"Acne","Eczema","Psoriasis","Fungal Infection","Heat Rash","Contact Dermatitis"),
H152="ENT",CHOOSE(RANDBETWEEN(1,6),"Sinusitis","Tonsillitis","Ear Infection","Throat Infection","Allergic Rhinitis","Otitis Media"),
H152="Gynecology",CHOOSE(RANDBETWEEN(1,6),"PCOS","UTI","Pregnancy Checkup","Menstrual Disorder","Ovarian Cyst","Endometriosis")
)</f>
        <v>Chest Pain</v>
      </c>
      <c r="F152" t="str" cm="1">
        <f t="array" ref="F152">_xlfn.SWITCH(K152,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52" t="s">
        <v>47</v>
      </c>
      <c r="H152" t="s">
        <v>24</v>
      </c>
      <c r="I152" t="s">
        <v>93</v>
      </c>
      <c r="J152" s="1">
        <v>45861</v>
      </c>
      <c r="K152" t="str">
        <f t="shared" si="19"/>
        <v>July</v>
      </c>
      <c r="L152">
        <f t="shared" si="16"/>
        <v>7</v>
      </c>
      <c r="M152" t="s">
        <v>26</v>
      </c>
      <c r="N152" t="s">
        <v>36</v>
      </c>
      <c r="O152">
        <v>2000</v>
      </c>
      <c r="P152">
        <v>7500</v>
      </c>
      <c r="Q152">
        <v>3800</v>
      </c>
      <c r="R152">
        <v>24000</v>
      </c>
      <c r="S152" t="s">
        <v>37</v>
      </c>
      <c r="T152" t="s">
        <v>15</v>
      </c>
      <c r="U152">
        <v>37300</v>
      </c>
      <c r="V152">
        <v>6</v>
      </c>
      <c r="W152">
        <v>4.9000000000000004</v>
      </c>
      <c r="X152" t="s">
        <v>509</v>
      </c>
      <c r="Y152" t="s">
        <v>710</v>
      </c>
      <c r="Z152" s="1">
        <v>45861</v>
      </c>
      <c r="AA152" s="1">
        <f>Table1[[#This Row],[Admission_Date]]+Table1[[#This Row],[Length_of_Stay]]</f>
        <v>45867</v>
      </c>
      <c r="AB152" t="str">
        <f t="shared" ca="1" si="17"/>
        <v>General Ward</v>
      </c>
      <c r="AC152" t="str">
        <f ca="1">IF(AB152="General Ward","GW"&amp;TEXT(COUNTIF($AB$2:AB152,"General Ward"),"000"),IF(AB152="Semi Private","SP"&amp;TEXT(COUNTIF($AB$2:AB152,"Semi Private"),"000"),IF(AB152="Private Room","PR"&amp;TEXT(COUNTIF($AB$2:AB152,"Private Room"),"000"),IF(AB152="ICU","ICU"&amp;TEXT(COUNTIF($AB$2:AB152,"ICU"),"000"),"N/A"))))</f>
        <v>GW008</v>
      </c>
      <c r="AD152" t="str">
        <f t="shared" ca="1" si="20"/>
        <v>Available</v>
      </c>
      <c r="AE152" s="2" t="str">
        <f t="shared" ca="1" si="18"/>
        <v>Scheduled</v>
      </c>
    </row>
    <row r="153" spans="1:31" x14ac:dyDescent="0.3">
      <c r="A153" t="s">
        <v>304</v>
      </c>
      <c r="B153" t="s">
        <v>57</v>
      </c>
      <c r="C153" t="s">
        <v>32</v>
      </c>
      <c r="D153">
        <v>24</v>
      </c>
      <c r="E153" t="str" cm="1">
        <f t="array" aca="1" ref="E153" ca="1">_xlfn.IFS(
H153="Cardiology",CHOOSE(RANDBETWEEN(1,6),"Hypertension","Arrhythmia","Angina","Heart Failure","Chest Pain","Coronary Artery Disease"),
H153="General Medicine",CHOOSE(RANDBETWEEN(1,6),"Viral Fever","Influenza","Diabetes","Gastritis","Typhoid","Food Poisoning"),
H153="Orthopedics",CHOOSE(RANDBETWEEN(1,6),"Fracture","Arthritis","Back Pain","Joint Pain","Knee Injury","Shoulder Dislocation"),
H153="Neurology",CHOOSE(RANDBETWEEN(1,6),"Migraine","Stroke","Epilepsy","Vertigo","Parkinson's Disease","Peripheral Neuropathy"),
H153="Pediatrics",CHOOSE(RANDBETWEEN(1,6),"Common Cold","Asthma","Pneumonia","Ear Infection","Viral Fever","Stomach Infection"),
H153="Dermatology",CHOOSE(RANDBETWEEN(1,6),"Acne","Eczema","Psoriasis","Fungal Infection","Heat Rash","Contact Dermatitis"),
H153="ENT",CHOOSE(RANDBETWEEN(1,6),"Sinusitis","Tonsillitis","Ear Infection","Throat Infection","Allergic Rhinitis","Otitis Media"),
H153="Gynecology",CHOOSE(RANDBETWEEN(1,6),"PCOS","UTI","Pregnancy Checkup","Menstrual Disorder","Ovarian Cyst","Endometriosis")
)</f>
        <v>Viral Fever</v>
      </c>
      <c r="F153" t="str" cm="1">
        <f t="array" ref="F153">_xlfn.SWITCH(K153,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53" t="s">
        <v>40</v>
      </c>
      <c r="H153" t="s">
        <v>48</v>
      </c>
      <c r="I153" t="s">
        <v>108</v>
      </c>
      <c r="J153" s="1">
        <v>45862</v>
      </c>
      <c r="K153" t="str">
        <f t="shared" si="19"/>
        <v>July</v>
      </c>
      <c r="L153">
        <f t="shared" si="16"/>
        <v>7</v>
      </c>
      <c r="M153" t="s">
        <v>26</v>
      </c>
      <c r="N153" t="s">
        <v>27</v>
      </c>
      <c r="O153">
        <v>700</v>
      </c>
      <c r="P153">
        <v>500</v>
      </c>
      <c r="Q153">
        <v>400</v>
      </c>
      <c r="R153">
        <v>0</v>
      </c>
      <c r="S153" t="s">
        <v>28</v>
      </c>
      <c r="T153" t="s">
        <v>50</v>
      </c>
      <c r="U153">
        <v>1600</v>
      </c>
      <c r="V153">
        <v>0</v>
      </c>
      <c r="W153">
        <v>4.8</v>
      </c>
      <c r="X153" t="s">
        <v>510</v>
      </c>
      <c r="Y153" t="s">
        <v>711</v>
      </c>
      <c r="Z153" s="1">
        <v>45862</v>
      </c>
      <c r="AA153" s="1">
        <f>Table1[[#This Row],[Admission_Date]]+Table1[[#This Row],[Length_of_Stay]]</f>
        <v>45862</v>
      </c>
      <c r="AB153" t="str">
        <f t="shared" ca="1" si="17"/>
        <v>N/A</v>
      </c>
      <c r="AC153" t="str">
        <f ca="1">IF(AB153="General Ward","GW"&amp;TEXT(COUNTIF($AB$2:AB153,"General Ward"),"000"),IF(AB153="Semi Private","SP"&amp;TEXT(COUNTIF($AB$2:AB153,"Semi Private"),"000"),IF(AB153="Private Room","PR"&amp;TEXT(COUNTIF($AB$2:AB153,"Private Room"),"000"),IF(AB153="ICU","ICU"&amp;TEXT(COUNTIF($AB$2:AB153,"ICU"),"000"),"N/A"))))</f>
        <v>N/A</v>
      </c>
      <c r="AD153" t="str">
        <f t="shared" ca="1" si="20"/>
        <v>Not Admitted</v>
      </c>
      <c r="AE153" s="2" t="str">
        <f t="shared" ca="1" si="18"/>
        <v>N/A</v>
      </c>
    </row>
    <row r="154" spans="1:31" x14ac:dyDescent="0.3">
      <c r="A154" t="s">
        <v>305</v>
      </c>
      <c r="B154" t="s">
        <v>86</v>
      </c>
      <c r="C154" t="s">
        <v>22</v>
      </c>
      <c r="D154">
        <v>39</v>
      </c>
      <c r="E154" t="str" cm="1">
        <f t="array" aca="1" ref="E154" ca="1">_xlfn.IFS(
H154="Cardiology",CHOOSE(RANDBETWEEN(1,6),"Hypertension","Arrhythmia","Angina","Heart Failure","Chest Pain","Coronary Artery Disease"),
H154="General Medicine",CHOOSE(RANDBETWEEN(1,6),"Viral Fever","Influenza","Diabetes","Gastritis","Typhoid","Food Poisoning"),
H154="Orthopedics",CHOOSE(RANDBETWEEN(1,6),"Fracture","Arthritis","Back Pain","Joint Pain","Knee Injury","Shoulder Dislocation"),
H154="Neurology",CHOOSE(RANDBETWEEN(1,6),"Migraine","Stroke","Epilepsy","Vertigo","Parkinson's Disease","Peripheral Neuropathy"),
H154="Pediatrics",CHOOSE(RANDBETWEEN(1,6),"Common Cold","Asthma","Pneumonia","Ear Infection","Viral Fever","Stomach Infection"),
H154="Dermatology",CHOOSE(RANDBETWEEN(1,6),"Acne","Eczema","Psoriasis","Fungal Infection","Heat Rash","Contact Dermatitis"),
H154="ENT",CHOOSE(RANDBETWEEN(1,6),"Sinusitis","Tonsillitis","Ear Infection","Throat Infection","Allergic Rhinitis","Otitis Media"),
H154="Gynecology",CHOOSE(RANDBETWEEN(1,6),"PCOS","UTI","Pregnancy Checkup","Menstrual Disorder","Ovarian Cyst","Endometriosis")
)</f>
        <v>Otitis Media</v>
      </c>
      <c r="F154" t="str" cm="1">
        <f t="array" ref="F154">_xlfn.SWITCH(K154,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54" t="s">
        <v>33</v>
      </c>
      <c r="H154" t="s">
        <v>64</v>
      </c>
      <c r="I154" t="s">
        <v>99</v>
      </c>
      <c r="J154" s="1">
        <v>45863</v>
      </c>
      <c r="K154" t="str">
        <f t="shared" si="19"/>
        <v>July</v>
      </c>
      <c r="L154">
        <f t="shared" si="16"/>
        <v>7</v>
      </c>
      <c r="M154" t="s">
        <v>26</v>
      </c>
      <c r="N154" t="s">
        <v>27</v>
      </c>
      <c r="O154">
        <v>1000</v>
      </c>
      <c r="P154">
        <v>900</v>
      </c>
      <c r="Q154">
        <v>700</v>
      </c>
      <c r="R154">
        <v>0</v>
      </c>
      <c r="S154" t="s">
        <v>28</v>
      </c>
      <c r="T154" t="s">
        <v>44</v>
      </c>
      <c r="U154">
        <v>2600</v>
      </c>
      <c r="V154">
        <v>0</v>
      </c>
      <c r="W154">
        <v>4.5999999999999996</v>
      </c>
      <c r="X154" t="s">
        <v>511</v>
      </c>
      <c r="Y154" t="s">
        <v>712</v>
      </c>
      <c r="Z154" s="1">
        <v>45863</v>
      </c>
      <c r="AA154" s="1">
        <f>Table1[[#This Row],[Admission_Date]]+Table1[[#This Row],[Length_of_Stay]]</f>
        <v>45863</v>
      </c>
      <c r="AB154" t="str">
        <f t="shared" ca="1" si="17"/>
        <v>N/A</v>
      </c>
      <c r="AC154" t="str">
        <f ca="1">IF(AB154="General Ward","GW"&amp;TEXT(COUNTIF($AB$2:AB154,"General Ward"),"000"),IF(AB154="Semi Private","SP"&amp;TEXT(COUNTIF($AB$2:AB154,"Semi Private"),"000"),IF(AB154="Private Room","PR"&amp;TEXT(COUNTIF($AB$2:AB154,"Private Room"),"000"),IF(AB154="ICU","ICU"&amp;TEXT(COUNTIF($AB$2:AB154,"ICU"),"000"),"N/A"))))</f>
        <v>N/A</v>
      </c>
      <c r="AD154" t="str">
        <f t="shared" ca="1" si="20"/>
        <v>Not Admitted</v>
      </c>
      <c r="AE154" s="2" t="str">
        <f t="shared" ca="1" si="18"/>
        <v>N/A</v>
      </c>
    </row>
    <row r="155" spans="1:31" x14ac:dyDescent="0.3">
      <c r="A155" t="s">
        <v>306</v>
      </c>
      <c r="B155" t="s">
        <v>164</v>
      </c>
      <c r="C155" t="s">
        <v>32</v>
      </c>
      <c r="D155">
        <v>50</v>
      </c>
      <c r="E155" t="str" cm="1">
        <f t="array" aca="1" ref="E155" ca="1">_xlfn.IFS(
H155="Cardiology",CHOOSE(RANDBETWEEN(1,6),"Hypertension","Arrhythmia","Angina","Heart Failure","Chest Pain","Coronary Artery Disease"),
H155="General Medicine",CHOOSE(RANDBETWEEN(1,6),"Viral Fever","Influenza","Diabetes","Gastritis","Typhoid","Food Poisoning"),
H155="Orthopedics",CHOOSE(RANDBETWEEN(1,6),"Fracture","Arthritis","Back Pain","Joint Pain","Knee Injury","Shoulder Dislocation"),
H155="Neurology",CHOOSE(RANDBETWEEN(1,6),"Migraine","Stroke","Epilepsy","Vertigo","Parkinson's Disease","Peripheral Neuropathy"),
H155="Pediatrics",CHOOSE(RANDBETWEEN(1,6),"Common Cold","Asthma","Pneumonia","Ear Infection","Viral Fever","Stomach Infection"),
H155="Dermatology",CHOOSE(RANDBETWEEN(1,6),"Acne","Eczema","Psoriasis","Fungal Infection","Heat Rash","Contact Dermatitis"),
H155="ENT",CHOOSE(RANDBETWEEN(1,6),"Sinusitis","Tonsillitis","Ear Infection","Throat Infection","Allergic Rhinitis","Otitis Media"),
H155="Gynecology",CHOOSE(RANDBETWEEN(1,6),"PCOS","UTI","Pregnancy Checkup","Menstrual Disorder","Ovarian Cyst","Endometriosis")
)</f>
        <v>Parkinson's Disease</v>
      </c>
      <c r="F155" t="str" cm="1">
        <f t="array" ref="F155">_xlfn.SWITCH(K155,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55" t="s">
        <v>53</v>
      </c>
      <c r="H155" t="s">
        <v>54</v>
      </c>
      <c r="I155" t="s">
        <v>55</v>
      </c>
      <c r="J155" s="1">
        <v>45864</v>
      </c>
      <c r="K155" t="str">
        <f t="shared" si="19"/>
        <v>July</v>
      </c>
      <c r="L155">
        <f t="shared" si="16"/>
        <v>7</v>
      </c>
      <c r="M155" t="s">
        <v>26</v>
      </c>
      <c r="N155" t="s">
        <v>36</v>
      </c>
      <c r="O155">
        <v>2100</v>
      </c>
      <c r="P155">
        <v>8500</v>
      </c>
      <c r="Q155">
        <v>4200</v>
      </c>
      <c r="R155">
        <v>25000</v>
      </c>
      <c r="S155" t="s">
        <v>37</v>
      </c>
      <c r="T155" t="s">
        <v>15</v>
      </c>
      <c r="U155">
        <v>39800</v>
      </c>
      <c r="V155">
        <v>6</v>
      </c>
      <c r="W155">
        <v>4.9000000000000004</v>
      </c>
      <c r="X155" t="s">
        <v>512</v>
      </c>
      <c r="Y155" t="s">
        <v>713</v>
      </c>
      <c r="Z155" s="1">
        <v>45864</v>
      </c>
      <c r="AA155" s="1">
        <f>Table1[[#This Row],[Admission_Date]]+Table1[[#This Row],[Length_of_Stay]]</f>
        <v>45870</v>
      </c>
      <c r="AB155" t="str">
        <f t="shared" ca="1" si="17"/>
        <v>ICU</v>
      </c>
      <c r="AC155" t="str">
        <f ca="1">IF(AB155="General Ward","GW"&amp;TEXT(COUNTIF($AB$2:AB155,"General Ward"),"000"),IF(AB155="Semi Private","SP"&amp;TEXT(COUNTIF($AB$2:AB155,"Semi Private"),"000"),IF(AB155="Private Room","PR"&amp;TEXT(COUNTIF($AB$2:AB155,"Private Room"),"000"),IF(AB155="ICU","ICU"&amp;TEXT(COUNTIF($AB$2:AB155,"ICU"),"000"),"N/A"))))</f>
        <v>ICU009</v>
      </c>
      <c r="AD155" t="str">
        <f t="shared" ca="1" si="20"/>
        <v>Occupied</v>
      </c>
      <c r="AE155" s="2" t="str">
        <f t="shared" ca="1" si="18"/>
        <v>Emergency</v>
      </c>
    </row>
    <row r="156" spans="1:31" x14ac:dyDescent="0.3">
      <c r="A156" t="s">
        <v>307</v>
      </c>
      <c r="B156" t="s">
        <v>170</v>
      </c>
      <c r="C156" t="s">
        <v>22</v>
      </c>
      <c r="D156">
        <v>32</v>
      </c>
      <c r="E156" t="str" cm="1">
        <f t="array" aca="1" ref="E156" ca="1">_xlfn.IFS(
H156="Cardiology",CHOOSE(RANDBETWEEN(1,6),"Hypertension","Arrhythmia","Angina","Heart Failure","Chest Pain","Coronary Artery Disease"),
H156="General Medicine",CHOOSE(RANDBETWEEN(1,6),"Viral Fever","Influenza","Diabetes","Gastritis","Typhoid","Food Poisoning"),
H156="Orthopedics",CHOOSE(RANDBETWEEN(1,6),"Fracture","Arthritis","Back Pain","Joint Pain","Knee Injury","Shoulder Dislocation"),
H156="Neurology",CHOOSE(RANDBETWEEN(1,6),"Migraine","Stroke","Epilepsy","Vertigo","Parkinson's Disease","Peripheral Neuropathy"),
H156="Pediatrics",CHOOSE(RANDBETWEEN(1,6),"Common Cold","Asthma","Pneumonia","Ear Infection","Viral Fever","Stomach Infection"),
H156="Dermatology",CHOOSE(RANDBETWEEN(1,6),"Acne","Eczema","Psoriasis","Fungal Infection","Heat Rash","Contact Dermatitis"),
H156="ENT",CHOOSE(RANDBETWEEN(1,6),"Sinusitis","Tonsillitis","Ear Infection","Throat Infection","Allergic Rhinitis","Otitis Media"),
H156="Gynecology",CHOOSE(RANDBETWEEN(1,6),"PCOS","UTI","Pregnancy Checkup","Menstrual Disorder","Ovarian Cyst","Endometriosis")
)</f>
        <v>Shoulder Dislocation</v>
      </c>
      <c r="F156" t="str" cm="1">
        <f t="array" ref="F156">_xlfn.SWITCH(K156,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56" t="s">
        <v>68</v>
      </c>
      <c r="H156" t="s">
        <v>41</v>
      </c>
      <c r="I156" t="s">
        <v>102</v>
      </c>
      <c r="J156" s="1">
        <v>45865</v>
      </c>
      <c r="K156" t="str">
        <f t="shared" si="19"/>
        <v>July</v>
      </c>
      <c r="L156">
        <f t="shared" si="16"/>
        <v>7</v>
      </c>
      <c r="M156" t="s">
        <v>26</v>
      </c>
      <c r="N156" t="s">
        <v>27</v>
      </c>
      <c r="O156">
        <v>1400</v>
      </c>
      <c r="P156">
        <v>1600</v>
      </c>
      <c r="Q156">
        <v>1000</v>
      </c>
      <c r="R156">
        <v>0</v>
      </c>
      <c r="S156" t="s">
        <v>28</v>
      </c>
      <c r="T156" t="s">
        <v>29</v>
      </c>
      <c r="U156">
        <v>4000</v>
      </c>
      <c r="V156">
        <v>0</v>
      </c>
      <c r="W156">
        <v>4.7</v>
      </c>
      <c r="X156" t="s">
        <v>513</v>
      </c>
      <c r="Y156" t="s">
        <v>714</v>
      </c>
      <c r="Z156" s="1">
        <v>45865</v>
      </c>
      <c r="AA156" s="1">
        <f>Table1[[#This Row],[Admission_Date]]+Table1[[#This Row],[Length_of_Stay]]</f>
        <v>45865</v>
      </c>
      <c r="AB156" t="str">
        <f t="shared" ca="1" si="17"/>
        <v>N/A</v>
      </c>
      <c r="AC156" t="str">
        <f ca="1">IF(AB156="General Ward","GW"&amp;TEXT(COUNTIF($AB$2:AB156,"General Ward"),"000"),IF(AB156="Semi Private","SP"&amp;TEXT(COUNTIF($AB$2:AB156,"Semi Private"),"000"),IF(AB156="Private Room","PR"&amp;TEXT(COUNTIF($AB$2:AB156,"Private Room"),"000"),IF(AB156="ICU","ICU"&amp;TEXT(COUNTIF($AB$2:AB156,"ICU"),"000"),"N/A"))))</f>
        <v>N/A</v>
      </c>
      <c r="AD156" t="str">
        <f t="shared" ca="1" si="20"/>
        <v>Not Admitted</v>
      </c>
      <c r="AE156" s="2" t="str">
        <f t="shared" ca="1" si="18"/>
        <v>N/A</v>
      </c>
    </row>
    <row r="157" spans="1:31" x14ac:dyDescent="0.3">
      <c r="A157" t="s">
        <v>308</v>
      </c>
      <c r="B157" t="s">
        <v>168</v>
      </c>
      <c r="C157" t="s">
        <v>32</v>
      </c>
      <c r="D157">
        <v>29</v>
      </c>
      <c r="E157" t="str" cm="1">
        <f t="array" aca="1" ref="E157" ca="1">_xlfn.IFS(
H157="Cardiology",CHOOSE(RANDBETWEEN(1,6),"Hypertension","Arrhythmia","Angina","Heart Failure","Chest Pain","Coronary Artery Disease"),
H157="General Medicine",CHOOSE(RANDBETWEEN(1,6),"Viral Fever","Influenza","Diabetes","Gastritis","Typhoid","Food Poisoning"),
H157="Orthopedics",CHOOSE(RANDBETWEEN(1,6),"Fracture","Arthritis","Back Pain","Joint Pain","Knee Injury","Shoulder Dislocation"),
H157="Neurology",CHOOSE(RANDBETWEEN(1,6),"Migraine","Stroke","Epilepsy","Vertigo","Parkinson's Disease","Peripheral Neuropathy"),
H157="Pediatrics",CHOOSE(RANDBETWEEN(1,6),"Common Cold","Asthma","Pneumonia","Ear Infection","Viral Fever","Stomach Infection"),
H157="Dermatology",CHOOSE(RANDBETWEEN(1,6),"Acne","Eczema","Psoriasis","Fungal Infection","Heat Rash","Contact Dermatitis"),
H157="ENT",CHOOSE(RANDBETWEEN(1,6),"Sinusitis","Tonsillitis","Ear Infection","Throat Infection","Allergic Rhinitis","Otitis Media"),
H157="Gynecology",CHOOSE(RANDBETWEEN(1,6),"PCOS","UTI","Pregnancy Checkup","Menstrual Disorder","Ovarian Cyst","Endometriosis")
)</f>
        <v>UTI</v>
      </c>
      <c r="F157" t="str" cm="1">
        <f t="array" ref="F157">_xlfn.SWITCH(K157,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57" t="s">
        <v>72</v>
      </c>
      <c r="H157" t="s">
        <v>34</v>
      </c>
      <c r="I157" t="s">
        <v>165</v>
      </c>
      <c r="J157" s="1">
        <v>45866</v>
      </c>
      <c r="K157" t="str">
        <f t="shared" si="19"/>
        <v>July</v>
      </c>
      <c r="L157">
        <f t="shared" si="16"/>
        <v>7</v>
      </c>
      <c r="M157" t="s">
        <v>26</v>
      </c>
      <c r="N157" t="s">
        <v>27</v>
      </c>
      <c r="O157">
        <v>1200</v>
      </c>
      <c r="P157">
        <v>900</v>
      </c>
      <c r="Q157">
        <v>800</v>
      </c>
      <c r="R157">
        <v>0</v>
      </c>
      <c r="S157" t="s">
        <v>28</v>
      </c>
      <c r="T157" t="s">
        <v>50</v>
      </c>
      <c r="U157">
        <v>2900</v>
      </c>
      <c r="V157">
        <v>0</v>
      </c>
      <c r="W157">
        <v>4.8</v>
      </c>
      <c r="X157" t="s">
        <v>514</v>
      </c>
      <c r="Y157" t="s">
        <v>715</v>
      </c>
      <c r="Z157" s="1">
        <v>45866</v>
      </c>
      <c r="AA157" s="1">
        <f>Table1[[#This Row],[Admission_Date]]+Table1[[#This Row],[Length_of_Stay]]</f>
        <v>45866</v>
      </c>
      <c r="AB157" t="str">
        <f t="shared" ca="1" si="17"/>
        <v>N/A</v>
      </c>
      <c r="AC157" t="str">
        <f ca="1">IF(AB157="General Ward","GW"&amp;TEXT(COUNTIF($AB$2:AB157,"General Ward"),"000"),IF(AB157="Semi Private","SP"&amp;TEXT(COUNTIF($AB$2:AB157,"Semi Private"),"000"),IF(AB157="Private Room","PR"&amp;TEXT(COUNTIF($AB$2:AB157,"Private Room"),"000"),IF(AB157="ICU","ICU"&amp;TEXT(COUNTIF($AB$2:AB157,"ICU"),"000"),"N/A"))))</f>
        <v>N/A</v>
      </c>
      <c r="AD157" t="str">
        <f t="shared" ca="1" si="20"/>
        <v>Not Admitted</v>
      </c>
      <c r="AE157" s="2" t="str">
        <f t="shared" ca="1" si="18"/>
        <v>N/A</v>
      </c>
    </row>
    <row r="158" spans="1:31" x14ac:dyDescent="0.3">
      <c r="A158" t="s">
        <v>309</v>
      </c>
      <c r="B158" t="s">
        <v>182</v>
      </c>
      <c r="C158" t="s">
        <v>22</v>
      </c>
      <c r="D158">
        <v>55</v>
      </c>
      <c r="E158" t="str" cm="1">
        <f t="array" aca="1" ref="E158" ca="1">_xlfn.IFS(
H158="Cardiology",CHOOSE(RANDBETWEEN(1,6),"Hypertension","Arrhythmia","Angina","Heart Failure","Chest Pain","Coronary Artery Disease"),
H158="General Medicine",CHOOSE(RANDBETWEEN(1,6),"Viral Fever","Influenza","Diabetes","Gastritis","Typhoid","Food Poisoning"),
H158="Orthopedics",CHOOSE(RANDBETWEEN(1,6),"Fracture","Arthritis","Back Pain","Joint Pain","Knee Injury","Shoulder Dislocation"),
H158="Neurology",CHOOSE(RANDBETWEEN(1,6),"Migraine","Stroke","Epilepsy","Vertigo","Parkinson's Disease","Peripheral Neuropathy"),
H158="Pediatrics",CHOOSE(RANDBETWEEN(1,6),"Common Cold","Asthma","Pneumonia","Ear Infection","Viral Fever","Stomach Infection"),
H158="Dermatology",CHOOSE(RANDBETWEEN(1,6),"Acne","Eczema","Psoriasis","Fungal Infection","Heat Rash","Contact Dermatitis"),
H158="ENT",CHOOSE(RANDBETWEEN(1,6),"Sinusitis","Tonsillitis","Ear Infection","Throat Infection","Allergic Rhinitis","Otitis Media"),
H158="Gynecology",CHOOSE(RANDBETWEEN(1,6),"PCOS","UTI","Pregnancy Checkup","Menstrual Disorder","Ovarian Cyst","Endometriosis")
)</f>
        <v>Coronary Artery Disease</v>
      </c>
      <c r="F158" t="str" cm="1">
        <f t="array" ref="F158">_xlfn.SWITCH(K158,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58" t="s">
        <v>63</v>
      </c>
      <c r="H158" t="s">
        <v>24</v>
      </c>
      <c r="I158" t="s">
        <v>69</v>
      </c>
      <c r="J158" s="1">
        <v>45867</v>
      </c>
      <c r="K158" t="str">
        <f t="shared" si="19"/>
        <v>July</v>
      </c>
      <c r="L158">
        <f t="shared" si="16"/>
        <v>7</v>
      </c>
      <c r="M158" t="s">
        <v>26</v>
      </c>
      <c r="N158" t="s">
        <v>36</v>
      </c>
      <c r="O158">
        <v>1900</v>
      </c>
      <c r="P158">
        <v>7000</v>
      </c>
      <c r="Q158">
        <v>3600</v>
      </c>
      <c r="R158">
        <v>23000</v>
      </c>
      <c r="S158" t="s">
        <v>37</v>
      </c>
      <c r="T158" t="s">
        <v>15</v>
      </c>
      <c r="U158">
        <v>35500</v>
      </c>
      <c r="V158">
        <v>5</v>
      </c>
      <c r="W158">
        <v>4.9000000000000004</v>
      </c>
      <c r="X158" t="s">
        <v>515</v>
      </c>
      <c r="Y158" t="s">
        <v>716</v>
      </c>
      <c r="Z158" s="1">
        <v>45867</v>
      </c>
      <c r="AA158" s="1">
        <f>Table1[[#This Row],[Admission_Date]]+Table1[[#This Row],[Length_of_Stay]]</f>
        <v>45872</v>
      </c>
      <c r="AB158" t="str">
        <f t="shared" ca="1" si="17"/>
        <v>Private Room</v>
      </c>
      <c r="AC158" t="str">
        <f ca="1">IF(AB158="General Ward","GW"&amp;TEXT(COUNTIF($AB$2:AB158,"General Ward"),"000"),IF(AB158="Semi Private","SP"&amp;TEXT(COUNTIF($AB$2:AB158,"Semi Private"),"000"),IF(AB158="Private Room","PR"&amp;TEXT(COUNTIF($AB$2:AB158,"Private Room"),"000"),IF(AB158="ICU","ICU"&amp;TEXT(COUNTIF($AB$2:AB158,"ICU"),"000"),"N/A"))))</f>
        <v>PR013</v>
      </c>
      <c r="AD158" t="str">
        <f t="shared" ca="1" si="20"/>
        <v>Occupied</v>
      </c>
      <c r="AE158" s="2" t="str">
        <f t="shared" ca="1" si="18"/>
        <v>Walk-in</v>
      </c>
    </row>
    <row r="159" spans="1:31" x14ac:dyDescent="0.3">
      <c r="A159" t="s">
        <v>310</v>
      </c>
      <c r="B159" t="s">
        <v>95</v>
      </c>
      <c r="C159" t="s">
        <v>32</v>
      </c>
      <c r="D159">
        <v>41</v>
      </c>
      <c r="E159" t="str" cm="1">
        <f t="array" aca="1" ref="E159" ca="1">_xlfn.IFS(
H159="Cardiology",CHOOSE(RANDBETWEEN(1,6),"Hypertension","Arrhythmia","Angina","Heart Failure","Chest Pain","Coronary Artery Disease"),
H159="General Medicine",CHOOSE(RANDBETWEEN(1,6),"Viral Fever","Influenza","Diabetes","Gastritis","Typhoid","Food Poisoning"),
H159="Orthopedics",CHOOSE(RANDBETWEEN(1,6),"Fracture","Arthritis","Back Pain","Joint Pain","Knee Injury","Shoulder Dislocation"),
H159="Neurology",CHOOSE(RANDBETWEEN(1,6),"Migraine","Stroke","Epilepsy","Vertigo","Parkinson's Disease","Peripheral Neuropathy"),
H159="Pediatrics",CHOOSE(RANDBETWEEN(1,6),"Common Cold","Asthma","Pneumonia","Ear Infection","Viral Fever","Stomach Infection"),
H159="Dermatology",CHOOSE(RANDBETWEEN(1,6),"Acne","Eczema","Psoriasis","Fungal Infection","Heat Rash","Contact Dermatitis"),
H159="ENT",CHOOSE(RANDBETWEEN(1,6),"Sinusitis","Tonsillitis","Ear Infection","Throat Infection","Allergic Rhinitis","Otitis Media"),
H159="Gynecology",CHOOSE(RANDBETWEEN(1,6),"PCOS","UTI","Pregnancy Checkup","Menstrual Disorder","Ovarian Cyst","Endometriosis")
)</f>
        <v>Food Poisoning</v>
      </c>
      <c r="F159" t="str" cm="1">
        <f t="array" ref="F159">_xlfn.SWITCH(K159,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59" t="s">
        <v>77</v>
      </c>
      <c r="H159" t="s">
        <v>73</v>
      </c>
      <c r="I159" t="s">
        <v>90</v>
      </c>
      <c r="J159" s="1">
        <v>45868</v>
      </c>
      <c r="K159" t="str">
        <f t="shared" si="19"/>
        <v>July</v>
      </c>
      <c r="L159">
        <f t="shared" si="16"/>
        <v>7</v>
      </c>
      <c r="M159" t="s">
        <v>26</v>
      </c>
      <c r="N159" t="s">
        <v>27</v>
      </c>
      <c r="O159">
        <v>800</v>
      </c>
      <c r="P159">
        <v>1000</v>
      </c>
      <c r="Q159">
        <v>900</v>
      </c>
      <c r="R159">
        <v>0</v>
      </c>
      <c r="S159" t="s">
        <v>28</v>
      </c>
      <c r="T159" t="s">
        <v>44</v>
      </c>
      <c r="U159">
        <v>2700</v>
      </c>
      <c r="V159">
        <v>0</v>
      </c>
      <c r="W159">
        <v>4.5999999999999996</v>
      </c>
      <c r="X159" t="s">
        <v>516</v>
      </c>
      <c r="Y159" t="s">
        <v>717</v>
      </c>
      <c r="Z159" s="1">
        <v>45868</v>
      </c>
      <c r="AA159" s="1">
        <f>Table1[[#This Row],[Admission_Date]]+Table1[[#This Row],[Length_of_Stay]]</f>
        <v>45868</v>
      </c>
      <c r="AB159" t="str">
        <f t="shared" ca="1" si="17"/>
        <v>N/A</v>
      </c>
      <c r="AC159" t="str">
        <f ca="1">IF(AB159="General Ward","GW"&amp;TEXT(COUNTIF($AB$2:AB159,"General Ward"),"000"),IF(AB159="Semi Private","SP"&amp;TEXT(COUNTIF($AB$2:AB159,"Semi Private"),"000"),IF(AB159="Private Room","PR"&amp;TEXT(COUNTIF($AB$2:AB159,"Private Room"),"000"),IF(AB159="ICU","ICU"&amp;TEXT(COUNTIF($AB$2:AB159,"ICU"),"000"),"N/A"))))</f>
        <v>N/A</v>
      </c>
      <c r="AD159" t="str">
        <f t="shared" ca="1" si="20"/>
        <v>Not Admitted</v>
      </c>
      <c r="AE159" s="2" t="str">
        <f t="shared" ca="1" si="18"/>
        <v>N/A</v>
      </c>
    </row>
    <row r="160" spans="1:31" x14ac:dyDescent="0.3">
      <c r="A160" t="s">
        <v>311</v>
      </c>
      <c r="B160" t="s">
        <v>39</v>
      </c>
      <c r="C160" t="s">
        <v>22</v>
      </c>
      <c r="D160">
        <v>37</v>
      </c>
      <c r="E160" t="str" cm="1">
        <f t="array" aca="1" ref="E160" ca="1">_xlfn.IFS(
H160="Cardiology",CHOOSE(RANDBETWEEN(1,6),"Hypertension","Arrhythmia","Angina","Heart Failure","Chest Pain","Coronary Artery Disease"),
H160="General Medicine",CHOOSE(RANDBETWEEN(1,6),"Viral Fever","Influenza","Diabetes","Gastritis","Typhoid","Food Poisoning"),
H160="Orthopedics",CHOOSE(RANDBETWEEN(1,6),"Fracture","Arthritis","Back Pain","Joint Pain","Knee Injury","Shoulder Dislocation"),
H160="Neurology",CHOOSE(RANDBETWEEN(1,6),"Migraine","Stroke","Epilepsy","Vertigo","Parkinson's Disease","Peripheral Neuropathy"),
H160="Pediatrics",CHOOSE(RANDBETWEEN(1,6),"Common Cold","Asthma","Pneumonia","Ear Infection","Viral Fever","Stomach Infection"),
H160="Dermatology",CHOOSE(RANDBETWEEN(1,6),"Acne","Eczema","Psoriasis","Fungal Infection","Heat Rash","Contact Dermatitis"),
H160="ENT",CHOOSE(RANDBETWEEN(1,6),"Sinusitis","Tonsillitis","Ear Infection","Throat Infection","Allergic Rhinitis","Otitis Media"),
H160="Gynecology",CHOOSE(RANDBETWEEN(1,6),"PCOS","UTI","Pregnancy Checkup","Menstrual Disorder","Ovarian Cyst","Endometriosis")
)</f>
        <v>Eczema</v>
      </c>
      <c r="F160" t="str" cm="1">
        <f t="array" ref="F160">_xlfn.SWITCH(K160,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60" t="s">
        <v>23</v>
      </c>
      <c r="H160" t="s">
        <v>58</v>
      </c>
      <c r="I160" t="s">
        <v>151</v>
      </c>
      <c r="J160" s="1">
        <v>45869</v>
      </c>
      <c r="K160" t="str">
        <f t="shared" si="19"/>
        <v>July</v>
      </c>
      <c r="L160">
        <f t="shared" si="16"/>
        <v>7</v>
      </c>
      <c r="M160" t="s">
        <v>26</v>
      </c>
      <c r="N160" t="s">
        <v>27</v>
      </c>
      <c r="O160">
        <v>900</v>
      </c>
      <c r="P160">
        <v>600</v>
      </c>
      <c r="Q160">
        <v>500</v>
      </c>
      <c r="R160">
        <v>0</v>
      </c>
      <c r="S160" t="s">
        <v>28</v>
      </c>
      <c r="T160" t="s">
        <v>29</v>
      </c>
      <c r="U160">
        <v>2000</v>
      </c>
      <c r="V160">
        <v>0</v>
      </c>
      <c r="W160">
        <v>4.7</v>
      </c>
      <c r="X160" t="s">
        <v>517</v>
      </c>
      <c r="Y160" t="s">
        <v>718</v>
      </c>
      <c r="Z160" s="1">
        <v>45869</v>
      </c>
      <c r="AA160" s="1">
        <f>Table1[[#This Row],[Admission_Date]]+Table1[[#This Row],[Length_of_Stay]]</f>
        <v>45869</v>
      </c>
      <c r="AB160" t="str">
        <f t="shared" ca="1" si="17"/>
        <v>N/A</v>
      </c>
      <c r="AC160" t="str">
        <f ca="1">IF(AB160="General Ward","GW"&amp;TEXT(COUNTIF($AB$2:AB160,"General Ward"),"000"),IF(AB160="Semi Private","SP"&amp;TEXT(COUNTIF($AB$2:AB160,"Semi Private"),"000"),IF(AB160="Private Room","PR"&amp;TEXT(COUNTIF($AB$2:AB160,"Private Room"),"000"),IF(AB160="ICU","ICU"&amp;TEXT(COUNTIF($AB$2:AB160,"ICU"),"000"),"N/A"))))</f>
        <v>N/A</v>
      </c>
      <c r="AD160" t="str">
        <f t="shared" ca="1" si="20"/>
        <v>Not Admitted</v>
      </c>
      <c r="AE160" s="2" t="str">
        <f t="shared" ca="1" si="18"/>
        <v>N/A</v>
      </c>
    </row>
    <row r="161" spans="1:31" x14ac:dyDescent="0.3">
      <c r="A161" t="s">
        <v>312</v>
      </c>
      <c r="B161" t="s">
        <v>122</v>
      </c>
      <c r="C161" t="s">
        <v>32</v>
      </c>
      <c r="D161">
        <v>26</v>
      </c>
      <c r="E161" t="str" cm="1">
        <f t="array" aca="1" ref="E161" ca="1">_xlfn.IFS(
H161="Cardiology",CHOOSE(RANDBETWEEN(1,6),"Hypertension","Arrhythmia","Angina","Heart Failure","Chest Pain","Coronary Artery Disease"),
H161="General Medicine",CHOOSE(RANDBETWEEN(1,6),"Viral Fever","Influenza","Diabetes","Gastritis","Typhoid","Food Poisoning"),
H161="Orthopedics",CHOOSE(RANDBETWEEN(1,6),"Fracture","Arthritis","Back Pain","Joint Pain","Knee Injury","Shoulder Dislocation"),
H161="Neurology",CHOOSE(RANDBETWEEN(1,6),"Migraine","Stroke","Epilepsy","Vertigo","Parkinson's Disease","Peripheral Neuropathy"),
H161="Pediatrics",CHOOSE(RANDBETWEEN(1,6),"Common Cold","Asthma","Pneumonia","Ear Infection","Viral Fever","Stomach Infection"),
H161="Dermatology",CHOOSE(RANDBETWEEN(1,6),"Acne","Eczema","Psoriasis","Fungal Infection","Heat Rash","Contact Dermatitis"),
H161="ENT",CHOOSE(RANDBETWEEN(1,6),"Sinusitis","Tonsillitis","Ear Infection","Throat Infection","Allergic Rhinitis","Otitis Media"),
H161="Gynecology",CHOOSE(RANDBETWEEN(1,6),"PCOS","UTI","Pregnancy Checkup","Menstrual Disorder","Ovarian Cyst","Endometriosis")
)</f>
        <v>Otitis Media</v>
      </c>
      <c r="F161" t="str" cm="1">
        <f t="array" ref="F161">_xlfn.SWITCH(K161,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61" t="s">
        <v>47</v>
      </c>
      <c r="H161" t="s">
        <v>64</v>
      </c>
      <c r="I161" t="s">
        <v>78</v>
      </c>
      <c r="J161" s="1">
        <v>45870</v>
      </c>
      <c r="K161" t="str">
        <f t="shared" si="19"/>
        <v>August</v>
      </c>
      <c r="L161">
        <f t="shared" si="16"/>
        <v>8</v>
      </c>
      <c r="M161" t="s">
        <v>26</v>
      </c>
      <c r="N161" t="s">
        <v>27</v>
      </c>
      <c r="O161">
        <v>1000</v>
      </c>
      <c r="P161">
        <v>800</v>
      </c>
      <c r="Q161">
        <v>700</v>
      </c>
      <c r="R161">
        <v>0</v>
      </c>
      <c r="S161" t="s">
        <v>28</v>
      </c>
      <c r="T161" t="s">
        <v>50</v>
      </c>
      <c r="U161">
        <v>2500</v>
      </c>
      <c r="V161">
        <v>0</v>
      </c>
      <c r="W161">
        <v>4.8</v>
      </c>
      <c r="X161" t="s">
        <v>518</v>
      </c>
      <c r="Y161" t="s">
        <v>719</v>
      </c>
      <c r="Z161" s="1">
        <v>45870</v>
      </c>
      <c r="AA161" s="1">
        <f>Table1[[#This Row],[Admission_Date]]+Table1[[#This Row],[Length_of_Stay]]</f>
        <v>45870</v>
      </c>
      <c r="AB161" t="str">
        <f t="shared" ca="1" si="17"/>
        <v>N/A</v>
      </c>
      <c r="AC161" t="str">
        <f ca="1">IF(AB161="General Ward","GW"&amp;TEXT(COUNTIF($AB$2:AB161,"General Ward"),"000"),IF(AB161="Semi Private","SP"&amp;TEXT(COUNTIF($AB$2:AB161,"Semi Private"),"000"),IF(AB161="Private Room","PR"&amp;TEXT(COUNTIF($AB$2:AB161,"Private Room"),"000"),IF(AB161="ICU","ICU"&amp;TEXT(COUNTIF($AB$2:AB161,"ICU"),"000"),"N/A"))))</f>
        <v>N/A</v>
      </c>
      <c r="AD161" t="str">
        <f t="shared" ca="1" si="20"/>
        <v>Not Admitted</v>
      </c>
      <c r="AE161" s="2" t="str">
        <f t="shared" ca="1" si="18"/>
        <v>N/A</v>
      </c>
    </row>
    <row r="162" spans="1:31" x14ac:dyDescent="0.3">
      <c r="A162" t="s">
        <v>313</v>
      </c>
      <c r="B162" t="s">
        <v>98</v>
      </c>
      <c r="C162" t="s">
        <v>22</v>
      </c>
      <c r="D162">
        <v>48</v>
      </c>
      <c r="E162" t="str" cm="1">
        <f t="array" aca="1" ref="E162" ca="1">_xlfn.IFS(
H162="Cardiology",CHOOSE(RANDBETWEEN(1,6),"Hypertension","Arrhythmia","Angina","Heart Failure","Chest Pain","Coronary Artery Disease"),
H162="General Medicine",CHOOSE(RANDBETWEEN(1,6),"Viral Fever","Influenza","Diabetes","Gastritis","Typhoid","Food Poisoning"),
H162="Orthopedics",CHOOSE(RANDBETWEEN(1,6),"Fracture","Arthritis","Back Pain","Joint Pain","Knee Injury","Shoulder Dislocation"),
H162="Neurology",CHOOSE(RANDBETWEEN(1,6),"Migraine","Stroke","Epilepsy","Vertigo","Parkinson's Disease","Peripheral Neuropathy"),
H162="Pediatrics",CHOOSE(RANDBETWEEN(1,6),"Common Cold","Asthma","Pneumonia","Ear Infection","Viral Fever","Stomach Infection"),
H162="Dermatology",CHOOSE(RANDBETWEEN(1,6),"Acne","Eczema","Psoriasis","Fungal Infection","Heat Rash","Contact Dermatitis"),
H162="ENT",CHOOSE(RANDBETWEEN(1,6),"Sinusitis","Tonsillitis","Ear Infection","Throat Infection","Allergic Rhinitis","Otitis Media"),
H162="Gynecology",CHOOSE(RANDBETWEEN(1,6),"PCOS","UTI","Pregnancy Checkup","Menstrual Disorder","Ovarian Cyst","Endometriosis")
)</f>
        <v>Knee Injury</v>
      </c>
      <c r="F162" t="str" cm="1">
        <f t="array" ref="F162">_xlfn.SWITCH(K162,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62" t="s">
        <v>40</v>
      </c>
      <c r="H162" t="s">
        <v>41</v>
      </c>
      <c r="I162" t="s">
        <v>81</v>
      </c>
      <c r="J162" s="1">
        <v>45871</v>
      </c>
      <c r="K162" t="str">
        <f t="shared" si="19"/>
        <v>August</v>
      </c>
      <c r="L162">
        <f t="shared" ref="L162:L193" si="21">MONTH(J162)</f>
        <v>8</v>
      </c>
      <c r="M162" t="s">
        <v>26</v>
      </c>
      <c r="N162" t="s">
        <v>36</v>
      </c>
      <c r="O162">
        <v>1900</v>
      </c>
      <c r="P162">
        <v>6800</v>
      </c>
      <c r="Q162">
        <v>3500</v>
      </c>
      <c r="R162">
        <v>22000</v>
      </c>
      <c r="S162" t="s">
        <v>37</v>
      </c>
      <c r="T162" t="s">
        <v>15</v>
      </c>
      <c r="U162">
        <v>34200</v>
      </c>
      <c r="V162">
        <v>5</v>
      </c>
      <c r="W162">
        <v>4.8</v>
      </c>
      <c r="X162" t="s">
        <v>519</v>
      </c>
      <c r="Y162" t="s">
        <v>720</v>
      </c>
      <c r="Z162" s="1">
        <v>45871</v>
      </c>
      <c r="AA162" s="1">
        <f>Table1[[#This Row],[Admission_Date]]+Table1[[#This Row],[Length_of_Stay]]</f>
        <v>45876</v>
      </c>
      <c r="AB162" t="str">
        <f t="shared" ref="AB162:AB193" ca="1" si="22">IF(N162="OP","N/A",CHOOSE(RANDBETWEEN(1,4),"General Ward","Semi Private","Private Room","ICU"))</f>
        <v>ICU</v>
      </c>
      <c r="AC162" t="str">
        <f ca="1">IF(AB162="General Ward","GW"&amp;TEXT(COUNTIF($AB$2:AB162,"General Ward"),"000"),IF(AB162="Semi Private","SP"&amp;TEXT(COUNTIF($AB$2:AB162,"Semi Private"),"000"),IF(AB162="Private Room","PR"&amp;TEXT(COUNTIF($AB$2:AB162,"Private Room"),"000"),IF(AB162="ICU","ICU"&amp;TEXT(COUNTIF($AB$2:AB162,"ICU"),"000"),"N/A"))))</f>
        <v>ICU010</v>
      </c>
      <c r="AD162" t="str">
        <f t="shared" ca="1" si="20"/>
        <v>Available</v>
      </c>
      <c r="AE162" s="2" t="str">
        <f t="shared" ref="AE162:AE193" ca="1" si="23">IF(AB162="N/A","N/A",
IF(RAND()&lt;0.2,"Emergency",
IF(RAND()&lt;0.5,"Scheduled",
IF(RAND()&lt;0.8,"Walk-in","Referral"))))</f>
        <v>Scheduled</v>
      </c>
    </row>
    <row r="163" spans="1:31" x14ac:dyDescent="0.3">
      <c r="A163" t="s">
        <v>314</v>
      </c>
      <c r="B163" t="s">
        <v>107</v>
      </c>
      <c r="C163" t="s">
        <v>32</v>
      </c>
      <c r="D163">
        <v>31</v>
      </c>
      <c r="E163" t="str" cm="1">
        <f t="array" aca="1" ref="E163" ca="1">_xlfn.IFS(
H163="Cardiology",CHOOSE(RANDBETWEEN(1,6),"Hypertension","Arrhythmia","Angina","Heart Failure","Chest Pain","Coronary Artery Disease"),
H163="General Medicine",CHOOSE(RANDBETWEEN(1,6),"Viral Fever","Influenza","Diabetes","Gastritis","Typhoid","Food Poisoning"),
H163="Orthopedics",CHOOSE(RANDBETWEEN(1,6),"Fracture","Arthritis","Back Pain","Joint Pain","Knee Injury","Shoulder Dislocation"),
H163="Neurology",CHOOSE(RANDBETWEEN(1,6),"Migraine","Stroke","Epilepsy","Vertigo","Parkinson's Disease","Peripheral Neuropathy"),
H163="Pediatrics",CHOOSE(RANDBETWEEN(1,6),"Common Cold","Asthma","Pneumonia","Ear Infection","Viral Fever","Stomach Infection"),
H163="Dermatology",CHOOSE(RANDBETWEEN(1,6),"Acne","Eczema","Psoriasis","Fungal Infection","Heat Rash","Contact Dermatitis"),
H163="ENT",CHOOSE(RANDBETWEEN(1,6),"Sinusitis","Tonsillitis","Ear Infection","Throat Infection","Allergic Rhinitis","Otitis Media"),
H163="Gynecology",CHOOSE(RANDBETWEEN(1,6),"PCOS","UTI","Pregnancy Checkup","Menstrual Disorder","Ovarian Cyst","Endometriosis")
)</f>
        <v>Ovarian Cyst</v>
      </c>
      <c r="F163" t="str" cm="1">
        <f t="array" ref="F163">_xlfn.SWITCH(K163,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63" t="s">
        <v>33</v>
      </c>
      <c r="H163" t="s">
        <v>34</v>
      </c>
      <c r="I163" t="s">
        <v>35</v>
      </c>
      <c r="J163" s="1">
        <v>45872</v>
      </c>
      <c r="K163" t="str">
        <f t="shared" si="19"/>
        <v>August</v>
      </c>
      <c r="L163">
        <f t="shared" si="21"/>
        <v>8</v>
      </c>
      <c r="M163" t="s">
        <v>26</v>
      </c>
      <c r="N163" t="s">
        <v>27</v>
      </c>
      <c r="O163">
        <v>1200</v>
      </c>
      <c r="P163">
        <v>900</v>
      </c>
      <c r="Q163">
        <v>700</v>
      </c>
      <c r="R163">
        <v>0</v>
      </c>
      <c r="S163" t="s">
        <v>28</v>
      </c>
      <c r="T163" t="s">
        <v>29</v>
      </c>
      <c r="U163">
        <v>2800</v>
      </c>
      <c r="V163">
        <v>0</v>
      </c>
      <c r="W163">
        <v>4.9000000000000004</v>
      </c>
      <c r="X163" t="s">
        <v>520</v>
      </c>
      <c r="Y163" t="s">
        <v>721</v>
      </c>
      <c r="Z163" s="1">
        <v>45872</v>
      </c>
      <c r="AA163" s="1">
        <f>Table1[[#This Row],[Admission_Date]]+Table1[[#This Row],[Length_of_Stay]]</f>
        <v>45872</v>
      </c>
      <c r="AB163" t="str">
        <f t="shared" ca="1" si="22"/>
        <v>N/A</v>
      </c>
      <c r="AC163" t="str">
        <f ca="1">IF(AB163="General Ward","GW"&amp;TEXT(COUNTIF($AB$2:AB163,"General Ward"),"000"),IF(AB163="Semi Private","SP"&amp;TEXT(COUNTIF($AB$2:AB163,"Semi Private"),"000"),IF(AB163="Private Room","PR"&amp;TEXT(COUNTIF($AB$2:AB163,"Private Room"),"000"),IF(AB163="ICU","ICU"&amp;TEXT(COUNTIF($AB$2:AB163,"ICU"),"000"),"N/A"))))</f>
        <v>N/A</v>
      </c>
      <c r="AD163" t="str">
        <f t="shared" ca="1" si="20"/>
        <v>Not Admitted</v>
      </c>
      <c r="AE163" s="2" t="str">
        <f t="shared" ca="1" si="23"/>
        <v>N/A</v>
      </c>
    </row>
    <row r="164" spans="1:31" x14ac:dyDescent="0.3">
      <c r="A164" t="s">
        <v>315</v>
      </c>
      <c r="B164" t="s">
        <v>144</v>
      </c>
      <c r="C164" t="s">
        <v>22</v>
      </c>
      <c r="D164">
        <v>57</v>
      </c>
      <c r="E164" t="str" cm="1">
        <f t="array" aca="1" ref="E164" ca="1">_xlfn.IFS(
H164="Cardiology",CHOOSE(RANDBETWEEN(1,6),"Hypertension","Arrhythmia","Angina","Heart Failure","Chest Pain","Coronary Artery Disease"),
H164="General Medicine",CHOOSE(RANDBETWEEN(1,6),"Viral Fever","Influenza","Diabetes","Gastritis","Typhoid","Food Poisoning"),
H164="Orthopedics",CHOOSE(RANDBETWEEN(1,6),"Fracture","Arthritis","Back Pain","Joint Pain","Knee Injury","Shoulder Dislocation"),
H164="Neurology",CHOOSE(RANDBETWEEN(1,6),"Migraine","Stroke","Epilepsy","Vertigo","Parkinson's Disease","Peripheral Neuropathy"),
H164="Pediatrics",CHOOSE(RANDBETWEEN(1,6),"Common Cold","Asthma","Pneumonia","Ear Infection","Viral Fever","Stomach Infection"),
H164="Dermatology",CHOOSE(RANDBETWEEN(1,6),"Acne","Eczema","Psoriasis","Fungal Infection","Heat Rash","Contact Dermatitis"),
H164="ENT",CHOOSE(RANDBETWEEN(1,6),"Sinusitis","Tonsillitis","Ear Infection","Throat Infection","Allergic Rhinitis","Otitis Media"),
H164="Gynecology",CHOOSE(RANDBETWEEN(1,6),"PCOS","UTI","Pregnancy Checkup","Menstrual Disorder","Ovarian Cyst","Endometriosis")
)</f>
        <v>Arrhythmia</v>
      </c>
      <c r="F164" t="str" cm="1">
        <f t="array" ref="F164">_xlfn.SWITCH(K164,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64" t="s">
        <v>53</v>
      </c>
      <c r="H164" t="s">
        <v>24</v>
      </c>
      <c r="I164" t="s">
        <v>25</v>
      </c>
      <c r="J164" s="1">
        <v>45873</v>
      </c>
      <c r="K164" t="str">
        <f t="shared" si="19"/>
        <v>August</v>
      </c>
      <c r="L164">
        <f t="shared" si="21"/>
        <v>8</v>
      </c>
      <c r="M164" t="s">
        <v>26</v>
      </c>
      <c r="N164" t="s">
        <v>36</v>
      </c>
      <c r="O164">
        <v>2100</v>
      </c>
      <c r="P164">
        <v>8200</v>
      </c>
      <c r="Q164">
        <v>4100</v>
      </c>
      <c r="R164">
        <v>25000</v>
      </c>
      <c r="S164" t="s">
        <v>37</v>
      </c>
      <c r="T164" t="s">
        <v>15</v>
      </c>
      <c r="U164">
        <v>39400</v>
      </c>
      <c r="V164">
        <v>6</v>
      </c>
      <c r="W164">
        <v>5</v>
      </c>
      <c r="X164" t="s">
        <v>521</v>
      </c>
      <c r="Y164" t="s">
        <v>722</v>
      </c>
      <c r="Z164" s="1">
        <v>45873</v>
      </c>
      <c r="AA164" s="1">
        <f>Table1[[#This Row],[Admission_Date]]+Table1[[#This Row],[Length_of_Stay]]</f>
        <v>45879</v>
      </c>
      <c r="AB164" t="str">
        <f t="shared" ca="1" si="22"/>
        <v>Semi Private</v>
      </c>
      <c r="AC164" t="str">
        <f ca="1">IF(AB164="General Ward","GW"&amp;TEXT(COUNTIF($AB$2:AB164,"General Ward"),"000"),IF(AB164="Semi Private","SP"&amp;TEXT(COUNTIF($AB$2:AB164,"Semi Private"),"000"),IF(AB164="Private Room","PR"&amp;TEXT(COUNTIF($AB$2:AB164,"Private Room"),"000"),IF(AB164="ICU","ICU"&amp;TEXT(COUNTIF($AB$2:AB164,"ICU"),"000"),"N/A"))))</f>
        <v>SP019</v>
      </c>
      <c r="AD164" t="str">
        <f t="shared" ca="1" si="20"/>
        <v>Occupied</v>
      </c>
      <c r="AE164" s="2" t="str">
        <f t="shared" ca="1" si="23"/>
        <v>Scheduled</v>
      </c>
    </row>
    <row r="165" spans="1:31" x14ac:dyDescent="0.3">
      <c r="A165" t="s">
        <v>316</v>
      </c>
      <c r="B165" t="s">
        <v>184</v>
      </c>
      <c r="C165" t="s">
        <v>32</v>
      </c>
      <c r="D165">
        <v>22</v>
      </c>
      <c r="E165" t="str" cm="1">
        <f t="array" aca="1" ref="E165" ca="1">_xlfn.IFS(
H165="Cardiology",CHOOSE(RANDBETWEEN(1,6),"Hypertension","Arrhythmia","Angina","Heart Failure","Chest Pain","Coronary Artery Disease"),
H165="General Medicine",CHOOSE(RANDBETWEEN(1,6),"Viral Fever","Influenza","Diabetes","Gastritis","Typhoid","Food Poisoning"),
H165="Orthopedics",CHOOSE(RANDBETWEEN(1,6),"Fracture","Arthritis","Back Pain","Joint Pain","Knee Injury","Shoulder Dislocation"),
H165="Neurology",CHOOSE(RANDBETWEEN(1,6),"Migraine","Stroke","Epilepsy","Vertigo","Parkinson's Disease","Peripheral Neuropathy"),
H165="Pediatrics",CHOOSE(RANDBETWEEN(1,6),"Common Cold","Asthma","Pneumonia","Ear Infection","Viral Fever","Stomach Infection"),
H165="Dermatology",CHOOSE(RANDBETWEEN(1,6),"Acne","Eczema","Psoriasis","Fungal Infection","Heat Rash","Contact Dermatitis"),
H165="ENT",CHOOSE(RANDBETWEEN(1,6),"Sinusitis","Tonsillitis","Ear Infection","Throat Infection","Allergic Rhinitis","Otitis Media"),
H165="Gynecology",CHOOSE(RANDBETWEEN(1,6),"PCOS","UTI","Pregnancy Checkup","Menstrual Disorder","Ovarian Cyst","Endometriosis")
)</f>
        <v>Eczema</v>
      </c>
      <c r="F165" t="str" cm="1">
        <f t="array" ref="F165">_xlfn.SWITCH(K165,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65" t="s">
        <v>68</v>
      </c>
      <c r="H165" t="s">
        <v>58</v>
      </c>
      <c r="I165" t="s">
        <v>59</v>
      </c>
      <c r="J165" s="1">
        <v>45874</v>
      </c>
      <c r="K165" t="str">
        <f t="shared" si="19"/>
        <v>August</v>
      </c>
      <c r="L165">
        <f t="shared" si="21"/>
        <v>8</v>
      </c>
      <c r="M165" t="s">
        <v>26</v>
      </c>
      <c r="N165" t="s">
        <v>27</v>
      </c>
      <c r="O165">
        <v>900</v>
      </c>
      <c r="P165">
        <v>700</v>
      </c>
      <c r="Q165">
        <v>500</v>
      </c>
      <c r="R165">
        <v>0</v>
      </c>
      <c r="S165" t="s">
        <v>28</v>
      </c>
      <c r="T165" t="s">
        <v>44</v>
      </c>
      <c r="U165">
        <v>2100</v>
      </c>
      <c r="V165">
        <v>0</v>
      </c>
      <c r="W165">
        <v>4.8</v>
      </c>
      <c r="X165" t="s">
        <v>522</v>
      </c>
      <c r="Y165" t="s">
        <v>723</v>
      </c>
      <c r="Z165" s="1">
        <v>45874</v>
      </c>
      <c r="AA165" s="1">
        <f>Table1[[#This Row],[Admission_Date]]+Table1[[#This Row],[Length_of_Stay]]</f>
        <v>45874</v>
      </c>
      <c r="AB165" t="str">
        <f t="shared" ca="1" si="22"/>
        <v>N/A</v>
      </c>
      <c r="AC165" t="str">
        <f ca="1">IF(AB165="General Ward","GW"&amp;TEXT(COUNTIF($AB$2:AB165,"General Ward"),"000"),IF(AB165="Semi Private","SP"&amp;TEXT(COUNTIF($AB$2:AB165,"Semi Private"),"000"),IF(AB165="Private Room","PR"&amp;TEXT(COUNTIF($AB$2:AB165,"Private Room"),"000"),IF(AB165="ICU","ICU"&amp;TEXT(COUNTIF($AB$2:AB165,"ICU"),"000"),"N/A"))))</f>
        <v>N/A</v>
      </c>
      <c r="AD165" t="str">
        <f t="shared" ca="1" si="20"/>
        <v>Not Admitted</v>
      </c>
      <c r="AE165" s="2" t="str">
        <f t="shared" ca="1" si="23"/>
        <v>N/A</v>
      </c>
    </row>
    <row r="166" spans="1:31" x14ac:dyDescent="0.3">
      <c r="A166" t="s">
        <v>317</v>
      </c>
      <c r="B166" t="s">
        <v>178</v>
      </c>
      <c r="C166" t="s">
        <v>22</v>
      </c>
      <c r="D166">
        <v>36</v>
      </c>
      <c r="E166" t="str" cm="1">
        <f t="array" aca="1" ref="E166" ca="1">_xlfn.IFS(
H166="Cardiology",CHOOSE(RANDBETWEEN(1,6),"Hypertension","Arrhythmia","Angina","Heart Failure","Chest Pain","Coronary Artery Disease"),
H166="General Medicine",CHOOSE(RANDBETWEEN(1,6),"Viral Fever","Influenza","Diabetes","Gastritis","Typhoid","Food Poisoning"),
H166="Orthopedics",CHOOSE(RANDBETWEEN(1,6),"Fracture","Arthritis","Back Pain","Joint Pain","Knee Injury","Shoulder Dislocation"),
H166="Neurology",CHOOSE(RANDBETWEEN(1,6),"Migraine","Stroke","Epilepsy","Vertigo","Parkinson's Disease","Peripheral Neuropathy"),
H166="Pediatrics",CHOOSE(RANDBETWEEN(1,6),"Common Cold","Asthma","Pneumonia","Ear Infection","Viral Fever","Stomach Infection"),
H166="Dermatology",CHOOSE(RANDBETWEEN(1,6),"Acne","Eczema","Psoriasis","Fungal Infection","Heat Rash","Contact Dermatitis"),
H166="ENT",CHOOSE(RANDBETWEEN(1,6),"Sinusitis","Tonsillitis","Ear Infection","Throat Infection","Allergic Rhinitis","Otitis Media"),
H166="Gynecology",CHOOSE(RANDBETWEEN(1,6),"PCOS","UTI","Pregnancy Checkup","Menstrual Disorder","Ovarian Cyst","Endometriosis")
)</f>
        <v>Sinusitis</v>
      </c>
      <c r="F166" t="str" cm="1">
        <f t="array" ref="F166">_xlfn.SWITCH(K166,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66" t="s">
        <v>72</v>
      </c>
      <c r="H166" t="s">
        <v>64</v>
      </c>
      <c r="I166" t="s">
        <v>65</v>
      </c>
      <c r="J166" s="1">
        <v>45875</v>
      </c>
      <c r="K166" t="str">
        <f t="shared" si="19"/>
        <v>August</v>
      </c>
      <c r="L166">
        <f t="shared" si="21"/>
        <v>8</v>
      </c>
      <c r="M166" t="s">
        <v>26</v>
      </c>
      <c r="N166" t="s">
        <v>27</v>
      </c>
      <c r="O166">
        <v>1000</v>
      </c>
      <c r="P166">
        <v>900</v>
      </c>
      <c r="Q166">
        <v>600</v>
      </c>
      <c r="R166">
        <v>0</v>
      </c>
      <c r="S166" t="s">
        <v>28</v>
      </c>
      <c r="T166" t="s">
        <v>50</v>
      </c>
      <c r="U166">
        <v>2500</v>
      </c>
      <c r="V166">
        <v>0</v>
      </c>
      <c r="W166">
        <v>4.7</v>
      </c>
      <c r="X166" t="s">
        <v>523</v>
      </c>
      <c r="Y166" t="s">
        <v>724</v>
      </c>
      <c r="Z166" s="1">
        <v>45875</v>
      </c>
      <c r="AA166" s="1">
        <f>Table1[[#This Row],[Admission_Date]]+Table1[[#This Row],[Length_of_Stay]]</f>
        <v>45875</v>
      </c>
      <c r="AB166" t="str">
        <f t="shared" ca="1" si="22"/>
        <v>N/A</v>
      </c>
      <c r="AC166" t="str">
        <f ca="1">IF(AB166="General Ward","GW"&amp;TEXT(COUNTIF($AB$2:AB166,"General Ward"),"000"),IF(AB166="Semi Private","SP"&amp;TEXT(COUNTIF($AB$2:AB166,"Semi Private"),"000"),IF(AB166="Private Room","PR"&amp;TEXT(COUNTIF($AB$2:AB166,"Private Room"),"000"),IF(AB166="ICU","ICU"&amp;TEXT(COUNTIF($AB$2:AB166,"ICU"),"000"),"N/A"))))</f>
        <v>N/A</v>
      </c>
      <c r="AD166" t="str">
        <f t="shared" ca="1" si="20"/>
        <v>Not Admitted</v>
      </c>
      <c r="AE166" s="2" t="str">
        <f t="shared" ca="1" si="23"/>
        <v>N/A</v>
      </c>
    </row>
    <row r="167" spans="1:31" x14ac:dyDescent="0.3">
      <c r="A167" t="s">
        <v>318</v>
      </c>
      <c r="B167" t="s">
        <v>319</v>
      </c>
      <c r="C167" t="s">
        <v>32</v>
      </c>
      <c r="D167">
        <v>29</v>
      </c>
      <c r="E167" t="str" cm="1">
        <f t="array" aca="1" ref="E167" ca="1">_xlfn.IFS(
H167="Cardiology",CHOOSE(RANDBETWEEN(1,6),"Hypertension","Arrhythmia","Angina","Heart Failure","Chest Pain","Coronary Artery Disease"),
H167="General Medicine",CHOOSE(RANDBETWEEN(1,6),"Viral Fever","Influenza","Diabetes","Gastritis","Typhoid","Food Poisoning"),
H167="Orthopedics",CHOOSE(RANDBETWEEN(1,6),"Fracture","Arthritis","Back Pain","Joint Pain","Knee Injury","Shoulder Dislocation"),
H167="Neurology",CHOOSE(RANDBETWEEN(1,6),"Migraine","Stroke","Epilepsy","Vertigo","Parkinson's Disease","Peripheral Neuropathy"),
H167="Pediatrics",CHOOSE(RANDBETWEEN(1,6),"Common Cold","Asthma","Pneumonia","Ear Infection","Viral Fever","Stomach Infection"),
H167="Dermatology",CHOOSE(RANDBETWEEN(1,6),"Acne","Eczema","Psoriasis","Fungal Infection","Heat Rash","Contact Dermatitis"),
H167="ENT",CHOOSE(RANDBETWEEN(1,6),"Sinusitis","Tonsillitis","Ear Infection","Throat Infection","Allergic Rhinitis","Otitis Media"),
H167="Gynecology",CHOOSE(RANDBETWEEN(1,6),"PCOS","UTI","Pregnancy Checkup","Menstrual Disorder","Ovarian Cyst","Endometriosis")
)</f>
        <v>Common Cold</v>
      </c>
      <c r="F167" t="str" cm="1">
        <f t="array" ref="F167">_xlfn.SWITCH(K167,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67" t="s">
        <v>63</v>
      </c>
      <c r="H167" t="s">
        <v>48</v>
      </c>
      <c r="I167" t="s">
        <v>156</v>
      </c>
      <c r="J167" s="1">
        <v>45876</v>
      </c>
      <c r="K167" t="str">
        <f t="shared" si="19"/>
        <v>August</v>
      </c>
      <c r="L167">
        <f t="shared" si="21"/>
        <v>8</v>
      </c>
      <c r="M167" t="s">
        <v>26</v>
      </c>
      <c r="N167" t="s">
        <v>27</v>
      </c>
      <c r="O167">
        <v>700</v>
      </c>
      <c r="P167">
        <v>500</v>
      </c>
      <c r="Q167">
        <v>400</v>
      </c>
      <c r="R167">
        <v>0</v>
      </c>
      <c r="S167" t="s">
        <v>28</v>
      </c>
      <c r="T167" t="s">
        <v>29</v>
      </c>
      <c r="U167">
        <v>1600</v>
      </c>
      <c r="V167">
        <v>0</v>
      </c>
      <c r="W167">
        <v>4.9000000000000004</v>
      </c>
      <c r="X167" t="s">
        <v>524</v>
      </c>
      <c r="Y167" t="s">
        <v>725</v>
      </c>
      <c r="Z167" s="1">
        <v>45876</v>
      </c>
      <c r="AA167" s="1">
        <f>Table1[[#This Row],[Admission_Date]]+Table1[[#This Row],[Length_of_Stay]]</f>
        <v>45876</v>
      </c>
      <c r="AB167" t="str">
        <f t="shared" ca="1" si="22"/>
        <v>N/A</v>
      </c>
      <c r="AC167" t="str">
        <f ca="1">IF(AB167="General Ward","GW"&amp;TEXT(COUNTIF($AB$2:AB167,"General Ward"),"000"),IF(AB167="Semi Private","SP"&amp;TEXT(COUNTIF($AB$2:AB167,"Semi Private"),"000"),IF(AB167="Private Room","PR"&amp;TEXT(COUNTIF($AB$2:AB167,"Private Room"),"000"),IF(AB167="ICU","ICU"&amp;TEXT(COUNTIF($AB$2:AB167,"ICU"),"000"),"N/A"))))</f>
        <v>N/A</v>
      </c>
      <c r="AD167" t="str">
        <f t="shared" ca="1" si="20"/>
        <v>Not Admitted</v>
      </c>
      <c r="AE167" s="2" t="str">
        <f t="shared" ca="1" si="23"/>
        <v>N/A</v>
      </c>
    </row>
    <row r="168" spans="1:31" x14ac:dyDescent="0.3">
      <c r="A168" t="s">
        <v>320</v>
      </c>
      <c r="B168" t="s">
        <v>190</v>
      </c>
      <c r="C168" t="s">
        <v>22</v>
      </c>
      <c r="D168">
        <v>63</v>
      </c>
      <c r="E168" t="str" cm="1">
        <f t="array" aca="1" ref="E168" ca="1">_xlfn.IFS(
H168="Cardiology",CHOOSE(RANDBETWEEN(1,6),"Hypertension","Arrhythmia","Angina","Heart Failure","Chest Pain","Coronary Artery Disease"),
H168="General Medicine",CHOOSE(RANDBETWEEN(1,6),"Viral Fever","Influenza","Diabetes","Gastritis","Typhoid","Food Poisoning"),
H168="Orthopedics",CHOOSE(RANDBETWEEN(1,6),"Fracture","Arthritis","Back Pain","Joint Pain","Knee Injury","Shoulder Dislocation"),
H168="Neurology",CHOOSE(RANDBETWEEN(1,6),"Migraine","Stroke","Epilepsy","Vertigo","Parkinson's Disease","Peripheral Neuropathy"),
H168="Pediatrics",CHOOSE(RANDBETWEEN(1,6),"Common Cold","Asthma","Pneumonia","Ear Infection","Viral Fever","Stomach Infection"),
H168="Dermatology",CHOOSE(RANDBETWEEN(1,6),"Acne","Eczema","Psoriasis","Fungal Infection","Heat Rash","Contact Dermatitis"),
H168="ENT",CHOOSE(RANDBETWEEN(1,6),"Sinusitis","Tonsillitis","Ear Infection","Throat Infection","Allergic Rhinitis","Otitis Media"),
H168="Gynecology",CHOOSE(RANDBETWEEN(1,6),"PCOS","UTI","Pregnancy Checkup","Menstrual Disorder","Ovarian Cyst","Endometriosis")
)</f>
        <v>Vertigo</v>
      </c>
      <c r="F168" t="str" cm="1">
        <f t="array" ref="F168">_xlfn.SWITCH(K168,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68" t="s">
        <v>77</v>
      </c>
      <c r="H168" t="s">
        <v>54</v>
      </c>
      <c r="I168" t="s">
        <v>160</v>
      </c>
      <c r="J168" s="1">
        <v>45877</v>
      </c>
      <c r="K168" t="str">
        <f t="shared" si="19"/>
        <v>August</v>
      </c>
      <c r="L168">
        <f t="shared" si="21"/>
        <v>8</v>
      </c>
      <c r="M168" t="s">
        <v>26</v>
      </c>
      <c r="N168" t="s">
        <v>36</v>
      </c>
      <c r="O168">
        <v>2300</v>
      </c>
      <c r="P168">
        <v>9000</v>
      </c>
      <c r="Q168">
        <v>4500</v>
      </c>
      <c r="R168">
        <v>27000</v>
      </c>
      <c r="S168" t="s">
        <v>37</v>
      </c>
      <c r="T168" t="s">
        <v>15</v>
      </c>
      <c r="U168">
        <v>42800</v>
      </c>
      <c r="V168">
        <v>7</v>
      </c>
      <c r="W168">
        <v>5</v>
      </c>
      <c r="X168" t="s">
        <v>525</v>
      </c>
      <c r="Y168" t="s">
        <v>726</v>
      </c>
      <c r="Z168" s="1">
        <v>45877</v>
      </c>
      <c r="AA168" s="1">
        <f>Table1[[#This Row],[Admission_Date]]+Table1[[#This Row],[Length_of_Stay]]</f>
        <v>45884</v>
      </c>
      <c r="AB168" t="str">
        <f t="shared" ca="1" si="22"/>
        <v>General Ward</v>
      </c>
      <c r="AC168" t="str">
        <f ca="1">IF(AB168="General Ward","GW"&amp;TEXT(COUNTIF($AB$2:AB168,"General Ward"),"000"),IF(AB168="Semi Private","SP"&amp;TEXT(COUNTIF($AB$2:AB168,"Semi Private"),"000"),IF(AB168="Private Room","PR"&amp;TEXT(COUNTIF($AB$2:AB168,"Private Room"),"000"),IF(AB168="ICU","ICU"&amp;TEXT(COUNTIF($AB$2:AB168,"ICU"),"000"),"N/A"))))</f>
        <v>GW009</v>
      </c>
      <c r="AD168" t="str">
        <f t="shared" ca="1" si="20"/>
        <v>Available</v>
      </c>
      <c r="AE168" s="2" t="str">
        <f t="shared" ca="1" si="23"/>
        <v>Walk-in</v>
      </c>
    </row>
    <row r="169" spans="1:31" x14ac:dyDescent="0.3">
      <c r="A169" t="s">
        <v>321</v>
      </c>
      <c r="B169" t="s">
        <v>150</v>
      </c>
      <c r="C169" t="s">
        <v>32</v>
      </c>
      <c r="D169">
        <v>34</v>
      </c>
      <c r="E169" t="str" cm="1">
        <f t="array" aca="1" ref="E169" ca="1">_xlfn.IFS(
H169="Cardiology",CHOOSE(RANDBETWEEN(1,6),"Hypertension","Arrhythmia","Angina","Heart Failure","Chest Pain","Coronary Artery Disease"),
H169="General Medicine",CHOOSE(RANDBETWEEN(1,6),"Viral Fever","Influenza","Diabetes","Gastritis","Typhoid","Food Poisoning"),
H169="Orthopedics",CHOOSE(RANDBETWEEN(1,6),"Fracture","Arthritis","Back Pain","Joint Pain","Knee Injury","Shoulder Dislocation"),
H169="Neurology",CHOOSE(RANDBETWEEN(1,6),"Migraine","Stroke","Epilepsy","Vertigo","Parkinson's Disease","Peripheral Neuropathy"),
H169="Pediatrics",CHOOSE(RANDBETWEEN(1,6),"Common Cold","Asthma","Pneumonia","Ear Infection","Viral Fever","Stomach Infection"),
H169="Dermatology",CHOOSE(RANDBETWEEN(1,6),"Acne","Eczema","Psoriasis","Fungal Infection","Heat Rash","Contact Dermatitis"),
H169="ENT",CHOOSE(RANDBETWEEN(1,6),"Sinusitis","Tonsillitis","Ear Infection","Throat Infection","Allergic Rhinitis","Otitis Media"),
H169="Gynecology",CHOOSE(RANDBETWEEN(1,6),"PCOS","UTI","Pregnancy Checkup","Menstrual Disorder","Ovarian Cyst","Endometriosis")
)</f>
        <v>Typhoid</v>
      </c>
      <c r="F169" t="str" cm="1">
        <f t="array" ref="F169">_xlfn.SWITCH(K169,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69" t="s">
        <v>23</v>
      </c>
      <c r="H169" t="s">
        <v>73</v>
      </c>
      <c r="I169" t="s">
        <v>74</v>
      </c>
      <c r="J169" s="1">
        <v>45878</v>
      </c>
      <c r="K169" t="str">
        <f t="shared" si="19"/>
        <v>August</v>
      </c>
      <c r="L169">
        <f t="shared" si="21"/>
        <v>8</v>
      </c>
      <c r="M169" t="s">
        <v>26</v>
      </c>
      <c r="N169" t="s">
        <v>27</v>
      </c>
      <c r="O169">
        <v>900</v>
      </c>
      <c r="P169">
        <v>1000</v>
      </c>
      <c r="Q169">
        <v>800</v>
      </c>
      <c r="R169">
        <v>0</v>
      </c>
      <c r="S169" t="s">
        <v>28</v>
      </c>
      <c r="T169" t="s">
        <v>50</v>
      </c>
      <c r="U169">
        <v>2700</v>
      </c>
      <c r="V169">
        <v>0</v>
      </c>
      <c r="W169">
        <v>4.8</v>
      </c>
      <c r="X169" t="s">
        <v>526</v>
      </c>
      <c r="Y169" t="s">
        <v>727</v>
      </c>
      <c r="Z169" s="1">
        <v>45878</v>
      </c>
      <c r="AA169" s="1">
        <f>Table1[[#This Row],[Admission_Date]]+Table1[[#This Row],[Length_of_Stay]]</f>
        <v>45878</v>
      </c>
      <c r="AB169" t="str">
        <f t="shared" ca="1" si="22"/>
        <v>N/A</v>
      </c>
      <c r="AC169" t="str">
        <f ca="1">IF(AB169="General Ward","GW"&amp;TEXT(COUNTIF($AB$2:AB169,"General Ward"),"000"),IF(AB169="Semi Private","SP"&amp;TEXT(COUNTIF($AB$2:AB169,"Semi Private"),"000"),IF(AB169="Private Room","PR"&amp;TEXT(COUNTIF($AB$2:AB169,"Private Room"),"000"),IF(AB169="ICU","ICU"&amp;TEXT(COUNTIF($AB$2:AB169,"ICU"),"000"),"N/A"))))</f>
        <v>N/A</v>
      </c>
      <c r="AD169" t="str">
        <f t="shared" ca="1" si="20"/>
        <v>Not Admitted</v>
      </c>
      <c r="AE169" s="2" t="str">
        <f t="shared" ca="1" si="23"/>
        <v>N/A</v>
      </c>
    </row>
    <row r="170" spans="1:31" x14ac:dyDescent="0.3">
      <c r="A170" t="s">
        <v>322</v>
      </c>
      <c r="B170" t="s">
        <v>323</v>
      </c>
      <c r="C170" t="s">
        <v>22</v>
      </c>
      <c r="D170">
        <v>42</v>
      </c>
      <c r="E170" t="str" cm="1">
        <f t="array" aca="1" ref="E170" ca="1">_xlfn.IFS(
H170="Cardiology",CHOOSE(RANDBETWEEN(1,6),"Hypertension","Arrhythmia","Angina","Heart Failure","Chest Pain","Coronary Artery Disease"),
H170="General Medicine",CHOOSE(RANDBETWEEN(1,6),"Viral Fever","Influenza","Diabetes","Gastritis","Typhoid","Food Poisoning"),
H170="Orthopedics",CHOOSE(RANDBETWEEN(1,6),"Fracture","Arthritis","Back Pain","Joint Pain","Knee Injury","Shoulder Dislocation"),
H170="Neurology",CHOOSE(RANDBETWEEN(1,6),"Migraine","Stroke","Epilepsy","Vertigo","Parkinson's Disease","Peripheral Neuropathy"),
H170="Pediatrics",CHOOSE(RANDBETWEEN(1,6),"Common Cold","Asthma","Pneumonia","Ear Infection","Viral Fever","Stomach Infection"),
H170="Dermatology",CHOOSE(RANDBETWEEN(1,6),"Acne","Eczema","Psoriasis","Fungal Infection","Heat Rash","Contact Dermatitis"),
H170="ENT",CHOOSE(RANDBETWEEN(1,6),"Sinusitis","Tonsillitis","Ear Infection","Throat Infection","Allergic Rhinitis","Otitis Media"),
H170="Gynecology",CHOOSE(RANDBETWEEN(1,6),"PCOS","UTI","Pregnancy Checkup","Menstrual Disorder","Ovarian Cyst","Endometriosis")
)</f>
        <v>Back Pain</v>
      </c>
      <c r="F170" t="str" cm="1">
        <f t="array" ref="F170">_xlfn.SWITCH(K170,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70" t="s">
        <v>47</v>
      </c>
      <c r="H170" t="s">
        <v>41</v>
      </c>
      <c r="I170" t="s">
        <v>102</v>
      </c>
      <c r="J170" s="1">
        <v>45879</v>
      </c>
      <c r="K170" t="str">
        <f t="shared" si="19"/>
        <v>August</v>
      </c>
      <c r="L170">
        <f t="shared" si="21"/>
        <v>8</v>
      </c>
      <c r="M170" t="s">
        <v>26</v>
      </c>
      <c r="N170" t="s">
        <v>27</v>
      </c>
      <c r="O170">
        <v>1400</v>
      </c>
      <c r="P170">
        <v>1700</v>
      </c>
      <c r="Q170">
        <v>900</v>
      </c>
      <c r="R170">
        <v>0</v>
      </c>
      <c r="S170" t="s">
        <v>28</v>
      </c>
      <c r="T170" t="s">
        <v>44</v>
      </c>
      <c r="U170">
        <v>4000</v>
      </c>
      <c r="V170">
        <v>0</v>
      </c>
      <c r="W170">
        <v>4.7</v>
      </c>
      <c r="X170" t="s">
        <v>527</v>
      </c>
      <c r="Y170" t="s">
        <v>728</v>
      </c>
      <c r="Z170" s="1">
        <v>45879</v>
      </c>
      <c r="AA170" s="1">
        <f>Table1[[#This Row],[Admission_Date]]+Table1[[#This Row],[Length_of_Stay]]</f>
        <v>45879</v>
      </c>
      <c r="AB170" t="str">
        <f t="shared" ca="1" si="22"/>
        <v>N/A</v>
      </c>
      <c r="AC170" t="str">
        <f ca="1">IF(AB170="General Ward","GW"&amp;TEXT(COUNTIF($AB$2:AB170,"General Ward"),"000"),IF(AB170="Semi Private","SP"&amp;TEXT(COUNTIF($AB$2:AB170,"Semi Private"),"000"),IF(AB170="Private Room","PR"&amp;TEXT(COUNTIF($AB$2:AB170,"Private Room"),"000"),IF(AB170="ICU","ICU"&amp;TEXT(COUNTIF($AB$2:AB170,"ICU"),"000"),"N/A"))))</f>
        <v>N/A</v>
      </c>
      <c r="AD170" t="str">
        <f t="shared" ca="1" si="20"/>
        <v>Not Admitted</v>
      </c>
      <c r="AE170" s="2" t="str">
        <f t="shared" ca="1" si="23"/>
        <v>N/A</v>
      </c>
    </row>
    <row r="171" spans="1:31" x14ac:dyDescent="0.3">
      <c r="A171" t="s">
        <v>324</v>
      </c>
      <c r="B171" t="s">
        <v>118</v>
      </c>
      <c r="C171" t="s">
        <v>32</v>
      </c>
      <c r="D171">
        <v>39</v>
      </c>
      <c r="E171" t="str" cm="1">
        <f t="array" aca="1" ref="E171" ca="1">_xlfn.IFS(
H171="Cardiology",CHOOSE(RANDBETWEEN(1,6),"Hypertension","Arrhythmia","Angina","Heart Failure","Chest Pain","Coronary Artery Disease"),
H171="General Medicine",CHOOSE(RANDBETWEEN(1,6),"Viral Fever","Influenza","Diabetes","Gastritis","Typhoid","Food Poisoning"),
H171="Orthopedics",CHOOSE(RANDBETWEEN(1,6),"Fracture","Arthritis","Back Pain","Joint Pain","Knee Injury","Shoulder Dislocation"),
H171="Neurology",CHOOSE(RANDBETWEEN(1,6),"Migraine","Stroke","Epilepsy","Vertigo","Parkinson's Disease","Peripheral Neuropathy"),
H171="Pediatrics",CHOOSE(RANDBETWEEN(1,6),"Common Cold","Asthma","Pneumonia","Ear Infection","Viral Fever","Stomach Infection"),
H171="Dermatology",CHOOSE(RANDBETWEEN(1,6),"Acne","Eczema","Psoriasis","Fungal Infection","Heat Rash","Contact Dermatitis"),
H171="ENT",CHOOSE(RANDBETWEEN(1,6),"Sinusitis","Tonsillitis","Ear Infection","Throat Infection","Allergic Rhinitis","Otitis Media"),
H171="Gynecology",CHOOSE(RANDBETWEEN(1,6),"PCOS","UTI","Pregnancy Checkup","Menstrual Disorder","Ovarian Cyst","Endometriosis")
)</f>
        <v>UTI</v>
      </c>
      <c r="F171" t="str" cm="1">
        <f t="array" ref="F171">_xlfn.SWITCH(K171,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71" t="s">
        <v>40</v>
      </c>
      <c r="H171" t="s">
        <v>34</v>
      </c>
      <c r="I171" t="s">
        <v>165</v>
      </c>
      <c r="J171" s="1">
        <v>45880</v>
      </c>
      <c r="K171" t="str">
        <f t="shared" si="19"/>
        <v>August</v>
      </c>
      <c r="L171">
        <f t="shared" si="21"/>
        <v>8</v>
      </c>
      <c r="M171" t="s">
        <v>26</v>
      </c>
      <c r="N171" t="s">
        <v>27</v>
      </c>
      <c r="O171">
        <v>1200</v>
      </c>
      <c r="P171">
        <v>1000</v>
      </c>
      <c r="Q171">
        <v>700</v>
      </c>
      <c r="R171">
        <v>0</v>
      </c>
      <c r="S171" t="s">
        <v>28</v>
      </c>
      <c r="T171" t="s">
        <v>29</v>
      </c>
      <c r="U171">
        <v>2900</v>
      </c>
      <c r="V171">
        <v>0</v>
      </c>
      <c r="W171">
        <v>4.8</v>
      </c>
      <c r="X171" t="s">
        <v>528</v>
      </c>
      <c r="Y171" t="s">
        <v>729</v>
      </c>
      <c r="Z171" s="1">
        <v>45880</v>
      </c>
      <c r="AA171" s="1">
        <f>Table1[[#This Row],[Admission_Date]]+Table1[[#This Row],[Length_of_Stay]]</f>
        <v>45880</v>
      </c>
      <c r="AB171" t="str">
        <f t="shared" ca="1" si="22"/>
        <v>N/A</v>
      </c>
      <c r="AC171" t="str">
        <f ca="1">IF(AB171="General Ward","GW"&amp;TEXT(COUNTIF($AB$2:AB171,"General Ward"),"000"),IF(AB171="Semi Private","SP"&amp;TEXT(COUNTIF($AB$2:AB171,"Semi Private"),"000"),IF(AB171="Private Room","PR"&amp;TEXT(COUNTIF($AB$2:AB171,"Private Room"),"000"),IF(AB171="ICU","ICU"&amp;TEXT(COUNTIF($AB$2:AB171,"ICU"),"000"),"N/A"))))</f>
        <v>N/A</v>
      </c>
      <c r="AD171" t="str">
        <f t="shared" ca="1" si="20"/>
        <v>Not Admitted</v>
      </c>
      <c r="AE171" s="2" t="str">
        <f t="shared" ca="1" si="23"/>
        <v>N/A</v>
      </c>
    </row>
    <row r="172" spans="1:31" x14ac:dyDescent="0.3">
      <c r="A172" t="s">
        <v>325</v>
      </c>
      <c r="B172" t="s">
        <v>128</v>
      </c>
      <c r="C172" t="s">
        <v>22</v>
      </c>
      <c r="D172">
        <v>51</v>
      </c>
      <c r="E172" t="str" cm="1">
        <f t="array" aca="1" ref="E172" ca="1">_xlfn.IFS(
H172="Cardiology",CHOOSE(RANDBETWEEN(1,6),"Hypertension","Arrhythmia","Angina","Heart Failure","Chest Pain","Coronary Artery Disease"),
H172="General Medicine",CHOOSE(RANDBETWEEN(1,6),"Viral Fever","Influenza","Diabetes","Gastritis","Typhoid","Food Poisoning"),
H172="Orthopedics",CHOOSE(RANDBETWEEN(1,6),"Fracture","Arthritis","Back Pain","Joint Pain","Knee Injury","Shoulder Dislocation"),
H172="Neurology",CHOOSE(RANDBETWEEN(1,6),"Migraine","Stroke","Epilepsy","Vertigo","Parkinson's Disease","Peripheral Neuropathy"),
H172="Pediatrics",CHOOSE(RANDBETWEEN(1,6),"Common Cold","Asthma","Pneumonia","Ear Infection","Viral Fever","Stomach Infection"),
H172="Dermatology",CHOOSE(RANDBETWEEN(1,6),"Acne","Eczema","Psoriasis","Fungal Infection","Heat Rash","Contact Dermatitis"),
H172="ENT",CHOOSE(RANDBETWEEN(1,6),"Sinusitis","Tonsillitis","Ear Infection","Throat Infection","Allergic Rhinitis","Otitis Media"),
H172="Gynecology",CHOOSE(RANDBETWEEN(1,6),"PCOS","UTI","Pregnancy Checkup","Menstrual Disorder","Ovarian Cyst","Endometriosis")
)</f>
        <v>Coronary Artery Disease</v>
      </c>
      <c r="F172" t="str" cm="1">
        <f t="array" ref="F172">_xlfn.SWITCH(K172,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72" t="s">
        <v>33</v>
      </c>
      <c r="H172" t="s">
        <v>24</v>
      </c>
      <c r="I172" t="s">
        <v>93</v>
      </c>
      <c r="J172" s="1">
        <v>45881</v>
      </c>
      <c r="K172" t="str">
        <f t="shared" si="19"/>
        <v>August</v>
      </c>
      <c r="L172">
        <f t="shared" si="21"/>
        <v>8</v>
      </c>
      <c r="M172" t="s">
        <v>26</v>
      </c>
      <c r="N172" t="s">
        <v>36</v>
      </c>
      <c r="O172">
        <v>2000</v>
      </c>
      <c r="P172">
        <v>7800</v>
      </c>
      <c r="Q172">
        <v>3900</v>
      </c>
      <c r="R172">
        <v>24000</v>
      </c>
      <c r="S172" t="s">
        <v>37</v>
      </c>
      <c r="T172" t="s">
        <v>15</v>
      </c>
      <c r="U172">
        <v>37700</v>
      </c>
      <c r="V172">
        <v>6</v>
      </c>
      <c r="W172">
        <v>4.9000000000000004</v>
      </c>
      <c r="X172" t="s">
        <v>529</v>
      </c>
      <c r="Y172" t="s">
        <v>730</v>
      </c>
      <c r="Z172" s="1">
        <v>45881</v>
      </c>
      <c r="AA172" s="1">
        <f>Table1[[#This Row],[Admission_Date]]+Table1[[#This Row],[Length_of_Stay]]</f>
        <v>45887</v>
      </c>
      <c r="AB172" t="str">
        <f t="shared" ca="1" si="22"/>
        <v>General Ward</v>
      </c>
      <c r="AC172" t="str">
        <f ca="1">IF(AB172="General Ward","GW"&amp;TEXT(COUNTIF($AB$2:AB172,"General Ward"),"000"),IF(AB172="Semi Private","SP"&amp;TEXT(COUNTIF($AB$2:AB172,"Semi Private"),"000"),IF(AB172="Private Room","PR"&amp;TEXT(COUNTIF($AB$2:AB172,"Private Room"),"000"),IF(AB172="ICU","ICU"&amp;TEXT(COUNTIF($AB$2:AB172,"ICU"),"000"),"N/A"))))</f>
        <v>GW010</v>
      </c>
      <c r="AD172" t="str">
        <f t="shared" ca="1" si="20"/>
        <v>Occupied</v>
      </c>
      <c r="AE172" s="2" t="str">
        <f t="shared" ca="1" si="23"/>
        <v>Emergency</v>
      </c>
    </row>
    <row r="173" spans="1:31" x14ac:dyDescent="0.3">
      <c r="A173" t="s">
        <v>326</v>
      </c>
      <c r="B173" t="s">
        <v>134</v>
      </c>
      <c r="C173" t="s">
        <v>32</v>
      </c>
      <c r="D173">
        <v>27</v>
      </c>
      <c r="E173" t="str" cm="1">
        <f t="array" aca="1" ref="E173" ca="1">_xlfn.IFS(
H173="Cardiology",CHOOSE(RANDBETWEEN(1,6),"Hypertension","Arrhythmia","Angina","Heart Failure","Chest Pain","Coronary Artery Disease"),
H173="General Medicine",CHOOSE(RANDBETWEEN(1,6),"Viral Fever","Influenza","Diabetes","Gastritis","Typhoid","Food Poisoning"),
H173="Orthopedics",CHOOSE(RANDBETWEEN(1,6),"Fracture","Arthritis","Back Pain","Joint Pain","Knee Injury","Shoulder Dislocation"),
H173="Neurology",CHOOSE(RANDBETWEEN(1,6),"Migraine","Stroke","Epilepsy","Vertigo","Parkinson's Disease","Peripheral Neuropathy"),
H173="Pediatrics",CHOOSE(RANDBETWEEN(1,6),"Common Cold","Asthma","Pneumonia","Ear Infection","Viral Fever","Stomach Infection"),
H173="Dermatology",CHOOSE(RANDBETWEEN(1,6),"Acne","Eczema","Psoriasis","Fungal Infection","Heat Rash","Contact Dermatitis"),
H173="ENT",CHOOSE(RANDBETWEEN(1,6),"Sinusitis","Tonsillitis","Ear Infection","Throat Infection","Allergic Rhinitis","Otitis Media"),
H173="Gynecology",CHOOSE(RANDBETWEEN(1,6),"PCOS","UTI","Pregnancy Checkup","Menstrual Disorder","Ovarian Cyst","Endometriosis")
)</f>
        <v>Acne</v>
      </c>
      <c r="F173" t="str" cm="1">
        <f t="array" ref="F173">_xlfn.SWITCH(K173,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73" t="s">
        <v>53</v>
      </c>
      <c r="H173" t="s">
        <v>58</v>
      </c>
      <c r="I173" t="s">
        <v>84</v>
      </c>
      <c r="J173" s="1">
        <v>45882</v>
      </c>
      <c r="K173" t="str">
        <f t="shared" si="19"/>
        <v>August</v>
      </c>
      <c r="L173">
        <f t="shared" si="21"/>
        <v>8</v>
      </c>
      <c r="M173" t="s">
        <v>26</v>
      </c>
      <c r="N173" t="s">
        <v>27</v>
      </c>
      <c r="O173">
        <v>900</v>
      </c>
      <c r="P173">
        <v>600</v>
      </c>
      <c r="Q173">
        <v>500</v>
      </c>
      <c r="R173">
        <v>0</v>
      </c>
      <c r="S173" t="s">
        <v>28</v>
      </c>
      <c r="T173" t="s">
        <v>50</v>
      </c>
      <c r="U173">
        <v>2000</v>
      </c>
      <c r="V173">
        <v>0</v>
      </c>
      <c r="W173">
        <v>4.8</v>
      </c>
      <c r="X173" t="s">
        <v>530</v>
      </c>
      <c r="Y173" t="s">
        <v>731</v>
      </c>
      <c r="Z173" s="1">
        <v>45882</v>
      </c>
      <c r="AA173" s="1">
        <f>Table1[[#This Row],[Admission_Date]]+Table1[[#This Row],[Length_of_Stay]]</f>
        <v>45882</v>
      </c>
      <c r="AB173" t="str">
        <f t="shared" ca="1" si="22"/>
        <v>N/A</v>
      </c>
      <c r="AC173" t="str">
        <f ca="1">IF(AB173="General Ward","GW"&amp;TEXT(COUNTIF($AB$2:AB173,"General Ward"),"000"),IF(AB173="Semi Private","SP"&amp;TEXT(COUNTIF($AB$2:AB173,"Semi Private"),"000"),IF(AB173="Private Room","PR"&amp;TEXT(COUNTIF($AB$2:AB173,"Private Room"),"000"),IF(AB173="ICU","ICU"&amp;TEXT(COUNTIF($AB$2:AB173,"ICU"),"000"),"N/A"))))</f>
        <v>N/A</v>
      </c>
      <c r="AD173" t="str">
        <f t="shared" ca="1" si="20"/>
        <v>Not Admitted</v>
      </c>
      <c r="AE173" s="2" t="str">
        <f t="shared" ca="1" si="23"/>
        <v>N/A</v>
      </c>
    </row>
    <row r="174" spans="1:31" x14ac:dyDescent="0.3">
      <c r="A174" t="s">
        <v>327</v>
      </c>
      <c r="B174" t="s">
        <v>283</v>
      </c>
      <c r="C174" t="s">
        <v>22</v>
      </c>
      <c r="D174">
        <v>46</v>
      </c>
      <c r="E174" t="str" cm="1">
        <f t="array" aca="1" ref="E174" ca="1">_xlfn.IFS(
H174="Cardiology",CHOOSE(RANDBETWEEN(1,6),"Hypertension","Arrhythmia","Angina","Heart Failure","Chest Pain","Coronary Artery Disease"),
H174="General Medicine",CHOOSE(RANDBETWEEN(1,6),"Viral Fever","Influenza","Diabetes","Gastritis","Typhoid","Food Poisoning"),
H174="Orthopedics",CHOOSE(RANDBETWEEN(1,6),"Fracture","Arthritis","Back Pain","Joint Pain","Knee Injury","Shoulder Dislocation"),
H174="Neurology",CHOOSE(RANDBETWEEN(1,6),"Migraine","Stroke","Epilepsy","Vertigo","Parkinson's Disease","Peripheral Neuropathy"),
H174="Pediatrics",CHOOSE(RANDBETWEEN(1,6),"Common Cold","Asthma","Pneumonia","Ear Infection","Viral Fever","Stomach Infection"),
H174="Dermatology",CHOOSE(RANDBETWEEN(1,6),"Acne","Eczema","Psoriasis","Fungal Infection","Heat Rash","Contact Dermatitis"),
H174="ENT",CHOOSE(RANDBETWEEN(1,6),"Sinusitis","Tonsillitis","Ear Infection","Throat Infection","Allergic Rhinitis","Otitis Media"),
H174="Gynecology",CHOOSE(RANDBETWEEN(1,6),"PCOS","UTI","Pregnancy Checkup","Menstrual Disorder","Ovarian Cyst","Endometriosis")
)</f>
        <v>Tonsillitis</v>
      </c>
      <c r="F174" t="str" cm="1">
        <f t="array" ref="F174">_xlfn.SWITCH(K174,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74" t="s">
        <v>68</v>
      </c>
      <c r="H174" t="s">
        <v>64</v>
      </c>
      <c r="I174" t="s">
        <v>78</v>
      </c>
      <c r="J174" s="1">
        <v>45883</v>
      </c>
      <c r="K174" t="str">
        <f t="shared" si="19"/>
        <v>August</v>
      </c>
      <c r="L174">
        <f t="shared" si="21"/>
        <v>8</v>
      </c>
      <c r="M174" t="s">
        <v>26</v>
      </c>
      <c r="N174" t="s">
        <v>27</v>
      </c>
      <c r="O174">
        <v>1000</v>
      </c>
      <c r="P174">
        <v>800</v>
      </c>
      <c r="Q174">
        <v>700</v>
      </c>
      <c r="R174">
        <v>0</v>
      </c>
      <c r="S174" t="s">
        <v>28</v>
      </c>
      <c r="T174" t="s">
        <v>44</v>
      </c>
      <c r="U174">
        <v>2500</v>
      </c>
      <c r="V174">
        <v>0</v>
      </c>
      <c r="W174">
        <v>4.5999999999999996</v>
      </c>
      <c r="X174" t="s">
        <v>531</v>
      </c>
      <c r="Y174" t="s">
        <v>732</v>
      </c>
      <c r="Z174" s="1">
        <v>45883</v>
      </c>
      <c r="AA174" s="1">
        <f>Table1[[#This Row],[Admission_Date]]+Table1[[#This Row],[Length_of_Stay]]</f>
        <v>45883</v>
      </c>
      <c r="AB174" t="str">
        <f t="shared" ca="1" si="22"/>
        <v>N/A</v>
      </c>
      <c r="AC174" t="str">
        <f ca="1">IF(AB174="General Ward","GW"&amp;TEXT(COUNTIF($AB$2:AB174,"General Ward"),"000"),IF(AB174="Semi Private","SP"&amp;TEXT(COUNTIF($AB$2:AB174,"Semi Private"),"000"),IF(AB174="Private Room","PR"&amp;TEXT(COUNTIF($AB$2:AB174,"Private Room"),"000"),IF(AB174="ICU","ICU"&amp;TEXT(COUNTIF($AB$2:AB174,"ICU"),"000"),"N/A"))))</f>
        <v>N/A</v>
      </c>
      <c r="AD174" t="str">
        <f t="shared" ca="1" si="20"/>
        <v>Not Admitted</v>
      </c>
      <c r="AE174" s="2" t="str">
        <f t="shared" ca="1" si="23"/>
        <v>N/A</v>
      </c>
    </row>
    <row r="175" spans="1:31" x14ac:dyDescent="0.3">
      <c r="A175" t="s">
        <v>328</v>
      </c>
      <c r="B175" t="s">
        <v>114</v>
      </c>
      <c r="C175" t="s">
        <v>32</v>
      </c>
      <c r="D175">
        <v>33</v>
      </c>
      <c r="E175" t="str" cm="1">
        <f t="array" aca="1" ref="E175" ca="1">_xlfn.IFS(
H175="Cardiology",CHOOSE(RANDBETWEEN(1,6),"Hypertension","Arrhythmia","Angina","Heart Failure","Chest Pain","Coronary Artery Disease"),
H175="General Medicine",CHOOSE(RANDBETWEEN(1,6),"Viral Fever","Influenza","Diabetes","Gastritis","Typhoid","Food Poisoning"),
H175="Orthopedics",CHOOSE(RANDBETWEEN(1,6),"Fracture","Arthritis","Back Pain","Joint Pain","Knee Injury","Shoulder Dislocation"),
H175="Neurology",CHOOSE(RANDBETWEEN(1,6),"Migraine","Stroke","Epilepsy","Vertigo","Parkinson's Disease","Peripheral Neuropathy"),
H175="Pediatrics",CHOOSE(RANDBETWEEN(1,6),"Common Cold","Asthma","Pneumonia","Ear Infection","Viral Fever","Stomach Infection"),
H175="Dermatology",CHOOSE(RANDBETWEEN(1,6),"Acne","Eczema","Psoriasis","Fungal Infection","Heat Rash","Contact Dermatitis"),
H175="ENT",CHOOSE(RANDBETWEEN(1,6),"Sinusitis","Tonsillitis","Ear Infection","Throat Infection","Allergic Rhinitis","Otitis Media"),
H175="Gynecology",CHOOSE(RANDBETWEEN(1,6),"PCOS","UTI","Pregnancy Checkup","Menstrual Disorder","Ovarian Cyst","Endometriosis")
)</f>
        <v>Gastritis</v>
      </c>
      <c r="F175" t="str" cm="1">
        <f t="array" ref="F175">_xlfn.SWITCH(K175,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75" t="s">
        <v>72</v>
      </c>
      <c r="H175" t="s">
        <v>73</v>
      </c>
      <c r="I175" t="s">
        <v>105</v>
      </c>
      <c r="J175" s="1">
        <v>45884</v>
      </c>
      <c r="K175" t="str">
        <f t="shared" si="19"/>
        <v>August</v>
      </c>
      <c r="L175">
        <f t="shared" si="21"/>
        <v>8</v>
      </c>
      <c r="M175" t="s">
        <v>26</v>
      </c>
      <c r="N175" t="s">
        <v>27</v>
      </c>
      <c r="O175">
        <v>800</v>
      </c>
      <c r="P175">
        <v>1100</v>
      </c>
      <c r="Q175">
        <v>900</v>
      </c>
      <c r="R175">
        <v>0</v>
      </c>
      <c r="S175" t="s">
        <v>28</v>
      </c>
      <c r="T175" t="s">
        <v>29</v>
      </c>
      <c r="U175">
        <v>2800</v>
      </c>
      <c r="V175">
        <v>0</v>
      </c>
      <c r="W175">
        <v>4.7</v>
      </c>
      <c r="X175" t="s">
        <v>532</v>
      </c>
      <c r="Y175" t="s">
        <v>733</v>
      </c>
      <c r="Z175" s="1">
        <v>45884</v>
      </c>
      <c r="AA175" s="1">
        <f>Table1[[#This Row],[Admission_Date]]+Table1[[#This Row],[Length_of_Stay]]</f>
        <v>45884</v>
      </c>
      <c r="AB175" t="str">
        <f t="shared" ca="1" si="22"/>
        <v>N/A</v>
      </c>
      <c r="AC175" t="str">
        <f ca="1">IF(AB175="General Ward","GW"&amp;TEXT(COUNTIF($AB$2:AB175,"General Ward"),"000"),IF(AB175="Semi Private","SP"&amp;TEXT(COUNTIF($AB$2:AB175,"Semi Private"),"000"),IF(AB175="Private Room","PR"&amp;TEXT(COUNTIF($AB$2:AB175,"Private Room"),"000"),IF(AB175="ICU","ICU"&amp;TEXT(COUNTIF($AB$2:AB175,"ICU"),"000"),"N/A"))))</f>
        <v>N/A</v>
      </c>
      <c r="AD175" t="str">
        <f t="shared" ca="1" si="20"/>
        <v>Not Admitted</v>
      </c>
      <c r="AE175" s="2" t="str">
        <f t="shared" ca="1" si="23"/>
        <v>N/A</v>
      </c>
    </row>
    <row r="176" spans="1:31" x14ac:dyDescent="0.3">
      <c r="A176" t="s">
        <v>329</v>
      </c>
      <c r="B176" t="s">
        <v>224</v>
      </c>
      <c r="C176" t="s">
        <v>22</v>
      </c>
      <c r="D176">
        <v>59</v>
      </c>
      <c r="E176" t="str" cm="1">
        <f t="array" aca="1" ref="E176" ca="1">_xlfn.IFS(
H176="Cardiology",CHOOSE(RANDBETWEEN(1,6),"Hypertension","Arrhythmia","Angina","Heart Failure","Chest Pain","Coronary Artery Disease"),
H176="General Medicine",CHOOSE(RANDBETWEEN(1,6),"Viral Fever","Influenza","Diabetes","Gastritis","Typhoid","Food Poisoning"),
H176="Orthopedics",CHOOSE(RANDBETWEEN(1,6),"Fracture","Arthritis","Back Pain","Joint Pain","Knee Injury","Shoulder Dislocation"),
H176="Neurology",CHOOSE(RANDBETWEEN(1,6),"Migraine","Stroke","Epilepsy","Vertigo","Parkinson's Disease","Peripheral Neuropathy"),
H176="Pediatrics",CHOOSE(RANDBETWEEN(1,6),"Common Cold","Asthma","Pneumonia","Ear Infection","Viral Fever","Stomach Infection"),
H176="Dermatology",CHOOSE(RANDBETWEEN(1,6),"Acne","Eczema","Psoriasis","Fungal Infection","Heat Rash","Contact Dermatitis"),
H176="ENT",CHOOSE(RANDBETWEEN(1,6),"Sinusitis","Tonsillitis","Ear Infection","Throat Infection","Allergic Rhinitis","Otitis Media"),
H176="Gynecology",CHOOSE(RANDBETWEEN(1,6),"PCOS","UTI","Pregnancy Checkup","Menstrual Disorder","Ovarian Cyst","Endometriosis")
)</f>
        <v>Vertigo</v>
      </c>
      <c r="F176" t="str" cm="1">
        <f t="array" ref="F176">_xlfn.SWITCH(K176,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76" t="s">
        <v>63</v>
      </c>
      <c r="H176" t="s">
        <v>54</v>
      </c>
      <c r="I176" t="s">
        <v>55</v>
      </c>
      <c r="J176" s="1">
        <v>45885</v>
      </c>
      <c r="K176" t="str">
        <f t="shared" si="19"/>
        <v>August</v>
      </c>
      <c r="L176">
        <f t="shared" si="21"/>
        <v>8</v>
      </c>
      <c r="M176" t="s">
        <v>26</v>
      </c>
      <c r="N176" t="s">
        <v>36</v>
      </c>
      <c r="O176">
        <v>2200</v>
      </c>
      <c r="P176">
        <v>8700</v>
      </c>
      <c r="Q176">
        <v>4300</v>
      </c>
      <c r="R176">
        <v>26000</v>
      </c>
      <c r="S176" t="s">
        <v>37</v>
      </c>
      <c r="T176" t="s">
        <v>15</v>
      </c>
      <c r="U176">
        <v>41200</v>
      </c>
      <c r="V176">
        <v>6</v>
      </c>
      <c r="W176">
        <v>4.9000000000000004</v>
      </c>
      <c r="X176" t="s">
        <v>533</v>
      </c>
      <c r="Y176" t="s">
        <v>734</v>
      </c>
      <c r="Z176" s="1">
        <v>45885</v>
      </c>
      <c r="AA176" s="1">
        <f>Table1[[#This Row],[Admission_Date]]+Table1[[#This Row],[Length_of_Stay]]</f>
        <v>45891</v>
      </c>
      <c r="AB176" t="str">
        <f t="shared" ca="1" si="22"/>
        <v>Semi Private</v>
      </c>
      <c r="AC176" t="str">
        <f ca="1">IF(AB176="General Ward","GW"&amp;TEXT(COUNTIF($AB$2:AB176,"General Ward"),"000"),IF(AB176="Semi Private","SP"&amp;TEXT(COUNTIF($AB$2:AB176,"Semi Private"),"000"),IF(AB176="Private Room","PR"&amp;TEXT(COUNTIF($AB$2:AB176,"Private Room"),"000"),IF(AB176="ICU","ICU"&amp;TEXT(COUNTIF($AB$2:AB176,"ICU"),"000"),"N/A"))))</f>
        <v>SP020</v>
      </c>
      <c r="AD176" t="str">
        <f t="shared" ca="1" si="20"/>
        <v>Available</v>
      </c>
      <c r="AE176" s="2" t="str">
        <f t="shared" ca="1" si="23"/>
        <v>Scheduled</v>
      </c>
    </row>
    <row r="177" spans="1:31" x14ac:dyDescent="0.3">
      <c r="A177" t="s">
        <v>330</v>
      </c>
      <c r="B177" t="s">
        <v>126</v>
      </c>
      <c r="C177" t="s">
        <v>32</v>
      </c>
      <c r="D177">
        <v>25</v>
      </c>
      <c r="E177" t="str" cm="1">
        <f t="array" aca="1" ref="E177" ca="1">_xlfn.IFS(
H177="Cardiology",CHOOSE(RANDBETWEEN(1,6),"Hypertension","Arrhythmia","Angina","Heart Failure","Chest Pain","Coronary Artery Disease"),
H177="General Medicine",CHOOSE(RANDBETWEEN(1,6),"Viral Fever","Influenza","Diabetes","Gastritis","Typhoid","Food Poisoning"),
H177="Orthopedics",CHOOSE(RANDBETWEEN(1,6),"Fracture","Arthritis","Back Pain","Joint Pain","Knee Injury","Shoulder Dislocation"),
H177="Neurology",CHOOSE(RANDBETWEEN(1,6),"Migraine","Stroke","Epilepsy","Vertigo","Parkinson's Disease","Peripheral Neuropathy"),
H177="Pediatrics",CHOOSE(RANDBETWEEN(1,6),"Common Cold","Asthma","Pneumonia","Ear Infection","Viral Fever","Stomach Infection"),
H177="Dermatology",CHOOSE(RANDBETWEEN(1,6),"Acne","Eczema","Psoriasis","Fungal Infection","Heat Rash","Contact Dermatitis"),
H177="ENT",CHOOSE(RANDBETWEEN(1,6),"Sinusitis","Tonsillitis","Ear Infection","Throat Infection","Allergic Rhinitis","Otitis Media"),
H177="Gynecology",CHOOSE(RANDBETWEEN(1,6),"PCOS","UTI","Pregnancy Checkup","Menstrual Disorder","Ovarian Cyst","Endometriosis")
)</f>
        <v>Asthma</v>
      </c>
      <c r="F177" t="str" cm="1">
        <f t="array" ref="F177">_xlfn.SWITCH(K177,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77" t="s">
        <v>77</v>
      </c>
      <c r="H177" t="s">
        <v>48</v>
      </c>
      <c r="I177" t="s">
        <v>108</v>
      </c>
      <c r="J177" s="1">
        <v>45886</v>
      </c>
      <c r="K177" t="str">
        <f t="shared" si="19"/>
        <v>August</v>
      </c>
      <c r="L177">
        <f t="shared" si="21"/>
        <v>8</v>
      </c>
      <c r="M177" t="s">
        <v>26</v>
      </c>
      <c r="N177" t="s">
        <v>27</v>
      </c>
      <c r="O177">
        <v>700</v>
      </c>
      <c r="P177">
        <v>500</v>
      </c>
      <c r="Q177">
        <v>400</v>
      </c>
      <c r="R177">
        <v>0</v>
      </c>
      <c r="S177" t="s">
        <v>28</v>
      </c>
      <c r="T177" t="s">
        <v>50</v>
      </c>
      <c r="U177">
        <v>1600</v>
      </c>
      <c r="V177">
        <v>0</v>
      </c>
      <c r="W177">
        <v>4.9000000000000004</v>
      </c>
      <c r="X177" t="s">
        <v>534</v>
      </c>
      <c r="Y177" t="s">
        <v>735</v>
      </c>
      <c r="Z177" s="1">
        <v>45886</v>
      </c>
      <c r="AA177" s="1">
        <f>Table1[[#This Row],[Admission_Date]]+Table1[[#This Row],[Length_of_Stay]]</f>
        <v>45886</v>
      </c>
      <c r="AB177" t="str">
        <f t="shared" ca="1" si="22"/>
        <v>N/A</v>
      </c>
      <c r="AC177" t="str">
        <f ca="1">IF(AB177="General Ward","GW"&amp;TEXT(COUNTIF($AB$2:AB177,"General Ward"),"000"),IF(AB177="Semi Private","SP"&amp;TEXT(COUNTIF($AB$2:AB177,"Semi Private"),"000"),IF(AB177="Private Room","PR"&amp;TEXT(COUNTIF($AB$2:AB177,"Private Room"),"000"),IF(AB177="ICU","ICU"&amp;TEXT(COUNTIF($AB$2:AB177,"ICU"),"000"),"N/A"))))</f>
        <v>N/A</v>
      </c>
      <c r="AD177" t="str">
        <f t="shared" ca="1" si="20"/>
        <v>Not Admitted</v>
      </c>
      <c r="AE177" s="2" t="str">
        <f t="shared" ca="1" si="23"/>
        <v>N/A</v>
      </c>
    </row>
    <row r="178" spans="1:31" x14ac:dyDescent="0.3">
      <c r="A178" t="s">
        <v>331</v>
      </c>
      <c r="B178" t="s">
        <v>289</v>
      </c>
      <c r="C178" t="s">
        <v>22</v>
      </c>
      <c r="D178">
        <v>38</v>
      </c>
      <c r="E178" t="str" cm="1">
        <f t="array" aca="1" ref="E178" ca="1">_xlfn.IFS(
H178="Cardiology",CHOOSE(RANDBETWEEN(1,6),"Hypertension","Arrhythmia","Angina","Heart Failure","Chest Pain","Coronary Artery Disease"),
H178="General Medicine",CHOOSE(RANDBETWEEN(1,6),"Viral Fever","Influenza","Diabetes","Gastritis","Typhoid","Food Poisoning"),
H178="Orthopedics",CHOOSE(RANDBETWEEN(1,6),"Fracture","Arthritis","Back Pain","Joint Pain","Knee Injury","Shoulder Dislocation"),
H178="Neurology",CHOOSE(RANDBETWEEN(1,6),"Migraine","Stroke","Epilepsy","Vertigo","Parkinson's Disease","Peripheral Neuropathy"),
H178="Pediatrics",CHOOSE(RANDBETWEEN(1,6),"Common Cold","Asthma","Pneumonia","Ear Infection","Viral Fever","Stomach Infection"),
H178="Dermatology",CHOOSE(RANDBETWEEN(1,6),"Acne","Eczema","Psoriasis","Fungal Infection","Heat Rash","Contact Dermatitis"),
H178="ENT",CHOOSE(RANDBETWEEN(1,6),"Sinusitis","Tonsillitis","Ear Infection","Throat Infection","Allergic Rhinitis","Otitis Media"),
H178="Gynecology",CHOOSE(RANDBETWEEN(1,6),"PCOS","UTI","Pregnancy Checkup","Menstrual Disorder","Ovarian Cyst","Endometriosis")
)</f>
        <v>Psoriasis</v>
      </c>
      <c r="F178" t="str" cm="1">
        <f t="array" ref="F178">_xlfn.SWITCH(K178,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78" t="s">
        <v>23</v>
      </c>
      <c r="H178" t="s">
        <v>58</v>
      </c>
      <c r="I178" t="s">
        <v>151</v>
      </c>
      <c r="J178" s="1">
        <v>45887</v>
      </c>
      <c r="K178" t="str">
        <f t="shared" si="19"/>
        <v>August</v>
      </c>
      <c r="L178">
        <f t="shared" si="21"/>
        <v>8</v>
      </c>
      <c r="M178" t="s">
        <v>26</v>
      </c>
      <c r="N178" t="s">
        <v>27</v>
      </c>
      <c r="O178">
        <v>900</v>
      </c>
      <c r="P178">
        <v>700</v>
      </c>
      <c r="Q178">
        <v>500</v>
      </c>
      <c r="R178">
        <v>0</v>
      </c>
      <c r="S178" t="s">
        <v>28</v>
      </c>
      <c r="T178" t="s">
        <v>44</v>
      </c>
      <c r="U178">
        <v>2100</v>
      </c>
      <c r="V178">
        <v>0</v>
      </c>
      <c r="W178">
        <v>4.7</v>
      </c>
      <c r="X178" t="s">
        <v>535</v>
      </c>
      <c r="Y178" t="s">
        <v>736</v>
      </c>
      <c r="Z178" s="1">
        <v>45887</v>
      </c>
      <c r="AA178" s="1">
        <f>Table1[[#This Row],[Admission_Date]]+Table1[[#This Row],[Length_of_Stay]]</f>
        <v>45887</v>
      </c>
      <c r="AB178" t="str">
        <f t="shared" ca="1" si="22"/>
        <v>N/A</v>
      </c>
      <c r="AC178" t="str">
        <f ca="1">IF(AB178="General Ward","GW"&amp;TEXT(COUNTIF($AB$2:AB178,"General Ward"),"000"),IF(AB178="Semi Private","SP"&amp;TEXT(COUNTIF($AB$2:AB178,"Semi Private"),"000"),IF(AB178="Private Room","PR"&amp;TEXT(COUNTIF($AB$2:AB178,"Private Room"),"000"),IF(AB178="ICU","ICU"&amp;TEXT(COUNTIF($AB$2:AB178,"ICU"),"000"),"N/A"))))</f>
        <v>N/A</v>
      </c>
      <c r="AD178" t="str">
        <f t="shared" ca="1" si="20"/>
        <v>Not Admitted</v>
      </c>
      <c r="AE178" s="2" t="str">
        <f t="shared" ca="1" si="23"/>
        <v>N/A</v>
      </c>
    </row>
    <row r="179" spans="1:31" x14ac:dyDescent="0.3">
      <c r="A179" t="s">
        <v>332</v>
      </c>
      <c r="B179" t="s">
        <v>180</v>
      </c>
      <c r="C179" t="s">
        <v>32</v>
      </c>
      <c r="D179">
        <v>45</v>
      </c>
      <c r="E179" t="str" cm="1">
        <f t="array" aca="1" ref="E179" ca="1">_xlfn.IFS(
H179="Cardiology",CHOOSE(RANDBETWEEN(1,6),"Hypertension","Arrhythmia","Angina","Heart Failure","Chest Pain","Coronary Artery Disease"),
H179="General Medicine",CHOOSE(RANDBETWEEN(1,6),"Viral Fever","Influenza","Diabetes","Gastritis","Typhoid","Food Poisoning"),
H179="Orthopedics",CHOOSE(RANDBETWEEN(1,6),"Fracture","Arthritis","Back Pain","Joint Pain","Knee Injury","Shoulder Dislocation"),
H179="Neurology",CHOOSE(RANDBETWEEN(1,6),"Migraine","Stroke","Epilepsy","Vertigo","Parkinson's Disease","Peripheral Neuropathy"),
H179="Pediatrics",CHOOSE(RANDBETWEEN(1,6),"Common Cold","Asthma","Pneumonia","Ear Infection","Viral Fever","Stomach Infection"),
H179="Dermatology",CHOOSE(RANDBETWEEN(1,6),"Acne","Eczema","Psoriasis","Fungal Infection","Heat Rash","Contact Dermatitis"),
H179="ENT",CHOOSE(RANDBETWEEN(1,6),"Sinusitis","Tonsillitis","Ear Infection","Throat Infection","Allergic Rhinitis","Otitis Media"),
H179="Gynecology",CHOOSE(RANDBETWEEN(1,6),"PCOS","UTI","Pregnancy Checkup","Menstrual Disorder","Ovarian Cyst","Endometriosis")
)</f>
        <v>Knee Injury</v>
      </c>
      <c r="F179" t="str" cm="1">
        <f t="array" ref="F179">_xlfn.SWITCH(K179,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79" t="s">
        <v>47</v>
      </c>
      <c r="H179" t="s">
        <v>41</v>
      </c>
      <c r="I179" t="s">
        <v>81</v>
      </c>
      <c r="J179" s="1">
        <v>45888</v>
      </c>
      <c r="K179" t="str">
        <f t="shared" si="19"/>
        <v>August</v>
      </c>
      <c r="L179">
        <f t="shared" si="21"/>
        <v>8</v>
      </c>
      <c r="M179" t="s">
        <v>26</v>
      </c>
      <c r="N179" t="s">
        <v>36</v>
      </c>
      <c r="O179">
        <v>1800</v>
      </c>
      <c r="P179">
        <v>6200</v>
      </c>
      <c r="Q179">
        <v>3100</v>
      </c>
      <c r="R179">
        <v>21000</v>
      </c>
      <c r="S179" t="s">
        <v>37</v>
      </c>
      <c r="T179" t="s">
        <v>15</v>
      </c>
      <c r="U179">
        <v>32100</v>
      </c>
      <c r="V179">
        <v>5</v>
      </c>
      <c r="W179">
        <v>4.8</v>
      </c>
      <c r="X179" t="s">
        <v>536</v>
      </c>
      <c r="Y179" t="s">
        <v>737</v>
      </c>
      <c r="Z179" s="1">
        <v>45888</v>
      </c>
      <c r="AA179" s="1">
        <f>Table1[[#This Row],[Admission_Date]]+Table1[[#This Row],[Length_of_Stay]]</f>
        <v>45893</v>
      </c>
      <c r="AB179" t="str">
        <f t="shared" ca="1" si="22"/>
        <v>ICU</v>
      </c>
      <c r="AC179" t="str">
        <f ca="1">IF(AB179="General Ward","GW"&amp;TEXT(COUNTIF($AB$2:AB179,"General Ward"),"000"),IF(AB179="Semi Private","SP"&amp;TEXT(COUNTIF($AB$2:AB179,"Semi Private"),"000"),IF(AB179="Private Room","PR"&amp;TEXT(COUNTIF($AB$2:AB179,"Private Room"),"000"),IF(AB179="ICU","ICU"&amp;TEXT(COUNTIF($AB$2:AB179,"ICU"),"000"),"N/A"))))</f>
        <v>ICU011</v>
      </c>
      <c r="AD179" t="str">
        <f t="shared" ca="1" si="20"/>
        <v>Available</v>
      </c>
      <c r="AE179" s="2" t="str">
        <f t="shared" ca="1" si="23"/>
        <v>Emergency</v>
      </c>
    </row>
    <row r="180" spans="1:31" x14ac:dyDescent="0.3">
      <c r="A180" t="s">
        <v>333</v>
      </c>
      <c r="B180" t="s">
        <v>192</v>
      </c>
      <c r="C180" t="s">
        <v>22</v>
      </c>
      <c r="D180">
        <v>30</v>
      </c>
      <c r="E180" t="str" cm="1">
        <f t="array" aca="1" ref="E180" ca="1">_xlfn.IFS(
H180="Cardiology",CHOOSE(RANDBETWEEN(1,6),"Hypertension","Arrhythmia","Angina","Heart Failure","Chest Pain","Coronary Artery Disease"),
H180="General Medicine",CHOOSE(RANDBETWEEN(1,6),"Viral Fever","Influenza","Diabetes","Gastritis","Typhoid","Food Poisoning"),
H180="Orthopedics",CHOOSE(RANDBETWEEN(1,6),"Fracture","Arthritis","Back Pain","Joint Pain","Knee Injury","Shoulder Dislocation"),
H180="Neurology",CHOOSE(RANDBETWEEN(1,6),"Migraine","Stroke","Epilepsy","Vertigo","Parkinson's Disease","Peripheral Neuropathy"),
H180="Pediatrics",CHOOSE(RANDBETWEEN(1,6),"Common Cold","Asthma","Pneumonia","Ear Infection","Viral Fever","Stomach Infection"),
H180="Dermatology",CHOOSE(RANDBETWEEN(1,6),"Acne","Eczema","Psoriasis","Fungal Infection","Heat Rash","Contact Dermatitis"),
H180="ENT",CHOOSE(RANDBETWEEN(1,6),"Sinusitis","Tonsillitis","Ear Infection","Throat Infection","Allergic Rhinitis","Otitis Media"),
H180="Gynecology",CHOOSE(RANDBETWEEN(1,6),"PCOS","UTI","Pregnancy Checkup","Menstrual Disorder","Ovarian Cyst","Endometriosis")
)</f>
        <v>Ear Infection</v>
      </c>
      <c r="F180" t="str" cm="1">
        <f t="array" ref="F180">_xlfn.SWITCH(K180,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80" t="s">
        <v>40</v>
      </c>
      <c r="H180" t="s">
        <v>64</v>
      </c>
      <c r="I180" t="s">
        <v>99</v>
      </c>
      <c r="J180" s="1">
        <v>45889</v>
      </c>
      <c r="K180" t="str">
        <f t="shared" si="19"/>
        <v>August</v>
      </c>
      <c r="L180">
        <f t="shared" si="21"/>
        <v>8</v>
      </c>
      <c r="M180" t="s">
        <v>26</v>
      </c>
      <c r="N180" t="s">
        <v>27</v>
      </c>
      <c r="O180">
        <v>1000</v>
      </c>
      <c r="P180">
        <v>900</v>
      </c>
      <c r="Q180">
        <v>600</v>
      </c>
      <c r="R180">
        <v>0</v>
      </c>
      <c r="S180" t="s">
        <v>28</v>
      </c>
      <c r="T180" t="s">
        <v>29</v>
      </c>
      <c r="U180">
        <v>2500</v>
      </c>
      <c r="V180">
        <v>0</v>
      </c>
      <c r="W180">
        <v>4.8</v>
      </c>
      <c r="X180" t="s">
        <v>537</v>
      </c>
      <c r="Y180" t="s">
        <v>738</v>
      </c>
      <c r="Z180" s="1">
        <v>45889</v>
      </c>
      <c r="AA180" s="1">
        <f>Table1[[#This Row],[Admission_Date]]+Table1[[#This Row],[Length_of_Stay]]</f>
        <v>45889</v>
      </c>
      <c r="AB180" t="str">
        <f t="shared" ca="1" si="22"/>
        <v>N/A</v>
      </c>
      <c r="AC180" t="str">
        <f ca="1">IF(AB180="General Ward","GW"&amp;TEXT(COUNTIF($AB$2:AB180,"General Ward"),"000"),IF(AB180="Semi Private","SP"&amp;TEXT(COUNTIF($AB$2:AB180,"Semi Private"),"000"),IF(AB180="Private Room","PR"&amp;TEXT(COUNTIF($AB$2:AB180,"Private Room"),"000"),IF(AB180="ICU","ICU"&amp;TEXT(COUNTIF($AB$2:AB180,"ICU"),"000"),"N/A"))))</f>
        <v>N/A</v>
      </c>
      <c r="AD180" t="str">
        <f t="shared" ca="1" si="20"/>
        <v>Not Admitted</v>
      </c>
      <c r="AE180" s="2" t="str">
        <f t="shared" ca="1" si="23"/>
        <v>N/A</v>
      </c>
    </row>
    <row r="181" spans="1:31" x14ac:dyDescent="0.3">
      <c r="A181" t="s">
        <v>334</v>
      </c>
      <c r="B181" t="s">
        <v>46</v>
      </c>
      <c r="C181" t="s">
        <v>32</v>
      </c>
      <c r="D181">
        <v>28</v>
      </c>
      <c r="E181" t="str" cm="1">
        <f t="array" aca="1" ref="E181" ca="1">_xlfn.IFS(
H181="Cardiology",CHOOSE(RANDBETWEEN(1,6),"Hypertension","Arrhythmia","Angina","Heart Failure","Chest Pain","Coronary Artery Disease"),
H181="General Medicine",CHOOSE(RANDBETWEEN(1,6),"Viral Fever","Influenza","Diabetes","Gastritis","Typhoid","Food Poisoning"),
H181="Orthopedics",CHOOSE(RANDBETWEEN(1,6),"Fracture","Arthritis","Back Pain","Joint Pain","Knee Injury","Shoulder Dislocation"),
H181="Neurology",CHOOSE(RANDBETWEEN(1,6),"Migraine","Stroke","Epilepsy","Vertigo","Parkinson's Disease","Peripheral Neuropathy"),
H181="Pediatrics",CHOOSE(RANDBETWEEN(1,6),"Common Cold","Asthma","Pneumonia","Ear Infection","Viral Fever","Stomach Infection"),
H181="Dermatology",CHOOSE(RANDBETWEEN(1,6),"Acne","Eczema","Psoriasis","Fungal Infection","Heat Rash","Contact Dermatitis"),
H181="ENT",CHOOSE(RANDBETWEEN(1,6),"Sinusitis","Tonsillitis","Ear Infection","Throat Infection","Allergic Rhinitis","Otitis Media"),
H181="Gynecology",CHOOSE(RANDBETWEEN(1,6),"PCOS","UTI","Pregnancy Checkup","Menstrual Disorder","Ovarian Cyst","Endometriosis")
)</f>
        <v>Endometriosis</v>
      </c>
      <c r="F181" t="str" cm="1">
        <f t="array" ref="F181">_xlfn.SWITCH(K181,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81" t="s">
        <v>33</v>
      </c>
      <c r="H181" t="s">
        <v>34</v>
      </c>
      <c r="I181" t="s">
        <v>35</v>
      </c>
      <c r="J181" s="1">
        <v>45890</v>
      </c>
      <c r="K181" t="str">
        <f t="shared" si="19"/>
        <v>August</v>
      </c>
      <c r="L181">
        <f t="shared" si="21"/>
        <v>8</v>
      </c>
      <c r="M181" t="s">
        <v>26</v>
      </c>
      <c r="N181" t="s">
        <v>27</v>
      </c>
      <c r="O181">
        <v>1200</v>
      </c>
      <c r="P181">
        <v>800</v>
      </c>
      <c r="Q181">
        <v>700</v>
      </c>
      <c r="R181">
        <v>0</v>
      </c>
      <c r="S181" t="s">
        <v>28</v>
      </c>
      <c r="T181" t="s">
        <v>50</v>
      </c>
      <c r="U181">
        <v>2700</v>
      </c>
      <c r="V181">
        <v>0</v>
      </c>
      <c r="W181">
        <v>4.9000000000000004</v>
      </c>
      <c r="X181" t="s">
        <v>538</v>
      </c>
      <c r="Y181" t="s">
        <v>739</v>
      </c>
      <c r="Z181" s="1">
        <v>45890</v>
      </c>
      <c r="AA181" s="1">
        <f>Table1[[#This Row],[Admission_Date]]+Table1[[#This Row],[Length_of_Stay]]</f>
        <v>45890</v>
      </c>
      <c r="AB181" t="str">
        <f t="shared" ca="1" si="22"/>
        <v>N/A</v>
      </c>
      <c r="AC181" t="str">
        <f ca="1">IF(AB181="General Ward","GW"&amp;TEXT(COUNTIF($AB$2:AB181,"General Ward"),"000"),IF(AB181="Semi Private","SP"&amp;TEXT(COUNTIF($AB$2:AB181,"Semi Private"),"000"),IF(AB181="Private Room","PR"&amp;TEXT(COUNTIF($AB$2:AB181,"Private Room"),"000"),IF(AB181="ICU","ICU"&amp;TEXT(COUNTIF($AB$2:AB181,"ICU"),"000"),"N/A"))))</f>
        <v>N/A</v>
      </c>
      <c r="AD181" t="str">
        <f t="shared" ca="1" si="20"/>
        <v>Not Admitted</v>
      </c>
      <c r="AE181" s="2" t="str">
        <f t="shared" ca="1" si="23"/>
        <v>N/A</v>
      </c>
    </row>
    <row r="182" spans="1:31" x14ac:dyDescent="0.3">
      <c r="A182" t="s">
        <v>335</v>
      </c>
      <c r="B182" t="s">
        <v>268</v>
      </c>
      <c r="C182" t="s">
        <v>22</v>
      </c>
      <c r="D182">
        <v>44</v>
      </c>
      <c r="E182" t="str" cm="1">
        <f t="array" aca="1" ref="E182" ca="1">_xlfn.IFS(
H182="Cardiology",CHOOSE(RANDBETWEEN(1,6),"Hypertension","Arrhythmia","Angina","Heart Failure","Chest Pain","Coronary Artery Disease"),
H182="General Medicine",CHOOSE(RANDBETWEEN(1,6),"Viral Fever","Influenza","Diabetes","Gastritis","Typhoid","Food Poisoning"),
H182="Orthopedics",CHOOSE(RANDBETWEEN(1,6),"Fracture","Arthritis","Back Pain","Joint Pain","Knee Injury","Shoulder Dislocation"),
H182="Neurology",CHOOSE(RANDBETWEEN(1,6),"Migraine","Stroke","Epilepsy","Vertigo","Parkinson's Disease","Peripheral Neuropathy"),
H182="Pediatrics",CHOOSE(RANDBETWEEN(1,6),"Common Cold","Asthma","Pneumonia","Ear Infection","Viral Fever","Stomach Infection"),
H182="Dermatology",CHOOSE(RANDBETWEEN(1,6),"Acne","Eczema","Psoriasis","Fungal Infection","Heat Rash","Contact Dermatitis"),
H182="ENT",CHOOSE(RANDBETWEEN(1,6),"Sinusitis","Tonsillitis","Ear Infection","Throat Infection","Allergic Rhinitis","Otitis Media"),
H182="Gynecology",CHOOSE(RANDBETWEEN(1,6),"PCOS","UTI","Pregnancy Checkup","Menstrual Disorder","Ovarian Cyst","Endometriosis")
)</f>
        <v>Coronary Artery Disease</v>
      </c>
      <c r="F182" t="str" cm="1">
        <f t="array" ref="F182">_xlfn.SWITCH(K182,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82" t="s">
        <v>53</v>
      </c>
      <c r="H182" t="s">
        <v>24</v>
      </c>
      <c r="I182" t="s">
        <v>25</v>
      </c>
      <c r="J182" s="1">
        <v>45891</v>
      </c>
      <c r="K182" t="str">
        <f t="shared" si="19"/>
        <v>August</v>
      </c>
      <c r="L182">
        <f t="shared" si="21"/>
        <v>8</v>
      </c>
      <c r="M182" t="s">
        <v>26</v>
      </c>
      <c r="N182" t="s">
        <v>36</v>
      </c>
      <c r="O182">
        <v>2100</v>
      </c>
      <c r="P182">
        <v>7900</v>
      </c>
      <c r="Q182">
        <v>4200</v>
      </c>
      <c r="R182">
        <v>24000</v>
      </c>
      <c r="S182" t="s">
        <v>37</v>
      </c>
      <c r="T182" t="s">
        <v>15</v>
      </c>
      <c r="U182">
        <v>38200</v>
      </c>
      <c r="V182">
        <v>6</v>
      </c>
      <c r="W182">
        <v>4.9000000000000004</v>
      </c>
      <c r="X182" t="s">
        <v>539</v>
      </c>
      <c r="Y182" t="s">
        <v>740</v>
      </c>
      <c r="Z182" s="1">
        <v>45891</v>
      </c>
      <c r="AA182" s="1">
        <f>Table1[[#This Row],[Admission_Date]]+Table1[[#This Row],[Length_of_Stay]]</f>
        <v>45897</v>
      </c>
      <c r="AB182" t="str">
        <f t="shared" ca="1" si="22"/>
        <v>ICU</v>
      </c>
      <c r="AC182" t="str">
        <f ca="1">IF(AB182="General Ward","GW"&amp;TEXT(COUNTIF($AB$2:AB182,"General Ward"),"000"),IF(AB182="Semi Private","SP"&amp;TEXT(COUNTIF($AB$2:AB182,"Semi Private"),"000"),IF(AB182="Private Room","PR"&amp;TEXT(COUNTIF($AB$2:AB182,"Private Room"),"000"),IF(AB182="ICU","ICU"&amp;TEXT(COUNTIF($AB$2:AB182,"ICU"),"000"),"N/A"))))</f>
        <v>ICU012</v>
      </c>
      <c r="AD182" t="str">
        <f t="shared" ca="1" si="20"/>
        <v>Available</v>
      </c>
      <c r="AE182" s="2" t="str">
        <f t="shared" ca="1" si="23"/>
        <v>Scheduled</v>
      </c>
    </row>
    <row r="183" spans="1:31" x14ac:dyDescent="0.3">
      <c r="A183" t="s">
        <v>336</v>
      </c>
      <c r="B183" t="s">
        <v>205</v>
      </c>
      <c r="C183" t="s">
        <v>32</v>
      </c>
      <c r="D183">
        <v>26</v>
      </c>
      <c r="E183" t="str" cm="1">
        <f t="array" aca="1" ref="E183" ca="1">_xlfn.IFS(
H183="Cardiology",CHOOSE(RANDBETWEEN(1,6),"Hypertension","Arrhythmia","Angina","Heart Failure","Chest Pain","Coronary Artery Disease"),
H183="General Medicine",CHOOSE(RANDBETWEEN(1,6),"Viral Fever","Influenza","Diabetes","Gastritis","Typhoid","Food Poisoning"),
H183="Orthopedics",CHOOSE(RANDBETWEEN(1,6),"Fracture","Arthritis","Back Pain","Joint Pain","Knee Injury","Shoulder Dislocation"),
H183="Neurology",CHOOSE(RANDBETWEEN(1,6),"Migraine","Stroke","Epilepsy","Vertigo","Parkinson's Disease","Peripheral Neuropathy"),
H183="Pediatrics",CHOOSE(RANDBETWEEN(1,6),"Common Cold","Asthma","Pneumonia","Ear Infection","Viral Fever","Stomach Infection"),
H183="Dermatology",CHOOSE(RANDBETWEEN(1,6),"Acne","Eczema","Psoriasis","Fungal Infection","Heat Rash","Contact Dermatitis"),
H183="ENT",CHOOSE(RANDBETWEEN(1,6),"Sinusitis","Tonsillitis","Ear Infection","Throat Infection","Allergic Rhinitis","Otitis Media"),
H183="Gynecology",CHOOSE(RANDBETWEEN(1,6),"PCOS","UTI","Pregnancy Checkup","Menstrual Disorder","Ovarian Cyst","Endometriosis")
)</f>
        <v>Heat Rash</v>
      </c>
      <c r="F183" t="str" cm="1">
        <f t="array" ref="F183">_xlfn.SWITCH(K183,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83" t="s">
        <v>68</v>
      </c>
      <c r="H183" t="s">
        <v>58</v>
      </c>
      <c r="I183" t="s">
        <v>59</v>
      </c>
      <c r="J183" s="1">
        <v>45892</v>
      </c>
      <c r="K183" t="str">
        <f t="shared" si="19"/>
        <v>August</v>
      </c>
      <c r="L183">
        <f t="shared" si="21"/>
        <v>8</v>
      </c>
      <c r="M183" t="s">
        <v>26</v>
      </c>
      <c r="N183" t="s">
        <v>27</v>
      </c>
      <c r="O183">
        <v>900</v>
      </c>
      <c r="P183">
        <v>600</v>
      </c>
      <c r="Q183">
        <v>500</v>
      </c>
      <c r="R183">
        <v>0</v>
      </c>
      <c r="S183" t="s">
        <v>28</v>
      </c>
      <c r="T183" t="s">
        <v>29</v>
      </c>
      <c r="U183">
        <v>2000</v>
      </c>
      <c r="V183">
        <v>0</v>
      </c>
      <c r="W183">
        <v>4.8</v>
      </c>
      <c r="X183" t="s">
        <v>540</v>
      </c>
      <c r="Y183" t="s">
        <v>741</v>
      </c>
      <c r="Z183" s="1">
        <v>45892</v>
      </c>
      <c r="AA183" s="1">
        <f>Table1[[#This Row],[Admission_Date]]+Table1[[#This Row],[Length_of_Stay]]</f>
        <v>45892</v>
      </c>
      <c r="AB183" t="str">
        <f t="shared" ca="1" si="22"/>
        <v>N/A</v>
      </c>
      <c r="AC183" t="str">
        <f ca="1">IF(AB183="General Ward","GW"&amp;TEXT(COUNTIF($AB$2:AB183,"General Ward"),"000"),IF(AB183="Semi Private","SP"&amp;TEXT(COUNTIF($AB$2:AB183,"Semi Private"),"000"),IF(AB183="Private Room","PR"&amp;TEXT(COUNTIF($AB$2:AB183,"Private Room"),"000"),IF(AB183="ICU","ICU"&amp;TEXT(COUNTIF($AB$2:AB183,"ICU"),"000"),"N/A"))))</f>
        <v>N/A</v>
      </c>
      <c r="AD183" t="str">
        <f t="shared" ca="1" si="20"/>
        <v>Not Admitted</v>
      </c>
      <c r="AE183" s="2" t="str">
        <f t="shared" ca="1" si="23"/>
        <v>N/A</v>
      </c>
    </row>
    <row r="184" spans="1:31" x14ac:dyDescent="0.3">
      <c r="A184" t="s">
        <v>337</v>
      </c>
      <c r="B184" t="s">
        <v>62</v>
      </c>
      <c r="C184" t="s">
        <v>22</v>
      </c>
      <c r="D184">
        <v>35</v>
      </c>
      <c r="E184" t="str" cm="1">
        <f t="array" aca="1" ref="E184" ca="1">_xlfn.IFS(
H184="Cardiology",CHOOSE(RANDBETWEEN(1,6),"Hypertension","Arrhythmia","Angina","Heart Failure","Chest Pain","Coronary Artery Disease"),
H184="General Medicine",CHOOSE(RANDBETWEEN(1,6),"Viral Fever","Influenza","Diabetes","Gastritis","Typhoid","Food Poisoning"),
H184="Orthopedics",CHOOSE(RANDBETWEEN(1,6),"Fracture","Arthritis","Back Pain","Joint Pain","Knee Injury","Shoulder Dislocation"),
H184="Neurology",CHOOSE(RANDBETWEEN(1,6),"Migraine","Stroke","Epilepsy","Vertigo","Parkinson's Disease","Peripheral Neuropathy"),
H184="Pediatrics",CHOOSE(RANDBETWEEN(1,6),"Common Cold","Asthma","Pneumonia","Ear Infection","Viral Fever","Stomach Infection"),
H184="Dermatology",CHOOSE(RANDBETWEEN(1,6),"Acne","Eczema","Psoriasis","Fungal Infection","Heat Rash","Contact Dermatitis"),
H184="ENT",CHOOSE(RANDBETWEEN(1,6),"Sinusitis","Tonsillitis","Ear Infection","Throat Infection","Allergic Rhinitis","Otitis Media"),
H184="Gynecology",CHOOSE(RANDBETWEEN(1,6),"PCOS","UTI","Pregnancy Checkup","Menstrual Disorder","Ovarian Cyst","Endometriosis")
)</f>
        <v>Diabetes</v>
      </c>
      <c r="F184" t="str" cm="1">
        <f t="array" ref="F184">_xlfn.SWITCH(K184,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84" t="s">
        <v>72</v>
      </c>
      <c r="H184" t="s">
        <v>73</v>
      </c>
      <c r="I184" t="s">
        <v>74</v>
      </c>
      <c r="J184" s="1">
        <v>45893</v>
      </c>
      <c r="K184" t="str">
        <f t="shared" si="19"/>
        <v>August</v>
      </c>
      <c r="L184">
        <f t="shared" si="21"/>
        <v>8</v>
      </c>
      <c r="M184" t="s">
        <v>26</v>
      </c>
      <c r="N184" t="s">
        <v>27</v>
      </c>
      <c r="O184">
        <v>800</v>
      </c>
      <c r="P184">
        <v>1200</v>
      </c>
      <c r="Q184">
        <v>800</v>
      </c>
      <c r="R184">
        <v>0</v>
      </c>
      <c r="S184" t="s">
        <v>28</v>
      </c>
      <c r="T184" t="s">
        <v>50</v>
      </c>
      <c r="U184">
        <v>2800</v>
      </c>
      <c r="V184">
        <v>0</v>
      </c>
      <c r="W184">
        <v>4.7</v>
      </c>
      <c r="X184" t="s">
        <v>541</v>
      </c>
      <c r="Y184" t="s">
        <v>742</v>
      </c>
      <c r="Z184" s="1">
        <v>45893</v>
      </c>
      <c r="AA184" s="1">
        <f>Table1[[#This Row],[Admission_Date]]+Table1[[#This Row],[Length_of_Stay]]</f>
        <v>45893</v>
      </c>
      <c r="AB184" t="str">
        <f t="shared" ca="1" si="22"/>
        <v>N/A</v>
      </c>
      <c r="AC184" t="str">
        <f ca="1">IF(AB184="General Ward","GW"&amp;TEXT(COUNTIF($AB$2:AB184,"General Ward"),"000"),IF(AB184="Semi Private","SP"&amp;TEXT(COUNTIF($AB$2:AB184,"Semi Private"),"000"),IF(AB184="Private Room","PR"&amp;TEXT(COUNTIF($AB$2:AB184,"Private Room"),"000"),IF(AB184="ICU","ICU"&amp;TEXT(COUNTIF($AB$2:AB184,"ICU"),"000"),"N/A"))))</f>
        <v>N/A</v>
      </c>
      <c r="AD184" t="str">
        <f t="shared" ca="1" si="20"/>
        <v>Not Admitted</v>
      </c>
      <c r="AE184" s="2" t="str">
        <f t="shared" ca="1" si="23"/>
        <v>N/A</v>
      </c>
    </row>
    <row r="185" spans="1:31" x14ac:dyDescent="0.3">
      <c r="A185" t="s">
        <v>338</v>
      </c>
      <c r="B185" t="s">
        <v>164</v>
      </c>
      <c r="C185" t="s">
        <v>32</v>
      </c>
      <c r="D185">
        <v>41</v>
      </c>
      <c r="E185" t="str" cm="1">
        <f t="array" aca="1" ref="E185" ca="1">_xlfn.IFS(
H185="Cardiology",CHOOSE(RANDBETWEEN(1,6),"Hypertension","Arrhythmia","Angina","Heart Failure","Chest Pain","Coronary Artery Disease"),
H185="General Medicine",CHOOSE(RANDBETWEEN(1,6),"Viral Fever","Influenza","Diabetes","Gastritis","Typhoid","Food Poisoning"),
H185="Orthopedics",CHOOSE(RANDBETWEEN(1,6),"Fracture","Arthritis","Back Pain","Joint Pain","Knee Injury","Shoulder Dislocation"),
H185="Neurology",CHOOSE(RANDBETWEEN(1,6),"Migraine","Stroke","Epilepsy","Vertigo","Parkinson's Disease","Peripheral Neuropathy"),
H185="Pediatrics",CHOOSE(RANDBETWEEN(1,6),"Common Cold","Asthma","Pneumonia","Ear Infection","Viral Fever","Stomach Infection"),
H185="Dermatology",CHOOSE(RANDBETWEEN(1,6),"Acne","Eczema","Psoriasis","Fungal Infection","Heat Rash","Contact Dermatitis"),
H185="ENT",CHOOSE(RANDBETWEEN(1,6),"Sinusitis","Tonsillitis","Ear Infection","Throat Infection","Allergic Rhinitis","Otitis Media"),
H185="Gynecology",CHOOSE(RANDBETWEEN(1,6),"PCOS","UTI","Pregnancy Checkup","Menstrual Disorder","Ovarian Cyst","Endometriosis")
)</f>
        <v>PCOS</v>
      </c>
      <c r="F185" t="str" cm="1">
        <f t="array" ref="F185">_xlfn.SWITCH(K185,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85" t="s">
        <v>63</v>
      </c>
      <c r="H185" t="s">
        <v>34</v>
      </c>
      <c r="I185" t="s">
        <v>165</v>
      </c>
      <c r="J185" s="1">
        <v>45894</v>
      </c>
      <c r="K185" t="str">
        <f t="shared" si="19"/>
        <v>August</v>
      </c>
      <c r="L185">
        <f t="shared" si="21"/>
        <v>8</v>
      </c>
      <c r="M185" t="s">
        <v>26</v>
      </c>
      <c r="N185" t="s">
        <v>27</v>
      </c>
      <c r="O185">
        <v>1200</v>
      </c>
      <c r="P185">
        <v>1000</v>
      </c>
      <c r="Q185">
        <v>700</v>
      </c>
      <c r="R185">
        <v>0</v>
      </c>
      <c r="S185" t="s">
        <v>28</v>
      </c>
      <c r="T185" t="s">
        <v>44</v>
      </c>
      <c r="U185">
        <v>2900</v>
      </c>
      <c r="V185">
        <v>0</v>
      </c>
      <c r="W185">
        <v>4.8</v>
      </c>
      <c r="X185" t="s">
        <v>542</v>
      </c>
      <c r="Y185" t="s">
        <v>743</v>
      </c>
      <c r="Z185" s="1">
        <v>45894</v>
      </c>
      <c r="AA185" s="1">
        <f>Table1[[#This Row],[Admission_Date]]+Table1[[#This Row],[Length_of_Stay]]</f>
        <v>45894</v>
      </c>
      <c r="AB185" t="str">
        <f t="shared" ca="1" si="22"/>
        <v>N/A</v>
      </c>
      <c r="AC185" t="str">
        <f ca="1">IF(AB185="General Ward","GW"&amp;TEXT(COUNTIF($AB$2:AB185,"General Ward"),"000"),IF(AB185="Semi Private","SP"&amp;TEXT(COUNTIF($AB$2:AB185,"Semi Private"),"000"),IF(AB185="Private Room","PR"&amp;TEXT(COUNTIF($AB$2:AB185,"Private Room"),"000"),IF(AB185="ICU","ICU"&amp;TEXT(COUNTIF($AB$2:AB185,"ICU"),"000"),"N/A"))))</f>
        <v>N/A</v>
      </c>
      <c r="AD185" t="str">
        <f t="shared" ca="1" si="20"/>
        <v>Not Admitted</v>
      </c>
      <c r="AE185" s="2" t="str">
        <f t="shared" ca="1" si="23"/>
        <v>N/A</v>
      </c>
    </row>
    <row r="186" spans="1:31" x14ac:dyDescent="0.3">
      <c r="A186" t="s">
        <v>339</v>
      </c>
      <c r="B186" t="s">
        <v>104</v>
      </c>
      <c r="C186" t="s">
        <v>22</v>
      </c>
      <c r="D186">
        <v>61</v>
      </c>
      <c r="E186" t="str" cm="1">
        <f t="array" aca="1" ref="E186" ca="1">_xlfn.IFS(
H186="Cardiology",CHOOSE(RANDBETWEEN(1,6),"Hypertension","Arrhythmia","Angina","Heart Failure","Chest Pain","Coronary Artery Disease"),
H186="General Medicine",CHOOSE(RANDBETWEEN(1,6),"Viral Fever","Influenza","Diabetes","Gastritis","Typhoid","Food Poisoning"),
H186="Orthopedics",CHOOSE(RANDBETWEEN(1,6),"Fracture","Arthritis","Back Pain","Joint Pain","Knee Injury","Shoulder Dislocation"),
H186="Neurology",CHOOSE(RANDBETWEEN(1,6),"Migraine","Stroke","Epilepsy","Vertigo","Parkinson's Disease","Peripheral Neuropathy"),
H186="Pediatrics",CHOOSE(RANDBETWEEN(1,6),"Common Cold","Asthma","Pneumonia","Ear Infection","Viral Fever","Stomach Infection"),
H186="Dermatology",CHOOSE(RANDBETWEEN(1,6),"Acne","Eczema","Psoriasis","Fungal Infection","Heat Rash","Contact Dermatitis"),
H186="ENT",CHOOSE(RANDBETWEEN(1,6),"Sinusitis","Tonsillitis","Ear Infection","Throat Infection","Allergic Rhinitis","Otitis Media"),
H186="Gynecology",CHOOSE(RANDBETWEEN(1,6),"PCOS","UTI","Pregnancy Checkup","Menstrual Disorder","Ovarian Cyst","Endometriosis")
)</f>
        <v>Vertigo</v>
      </c>
      <c r="F186" t="str" cm="1">
        <f t="array" ref="F186">_xlfn.SWITCH(K186,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86" t="s">
        <v>77</v>
      </c>
      <c r="H186" t="s">
        <v>54</v>
      </c>
      <c r="I186" t="s">
        <v>160</v>
      </c>
      <c r="J186" s="1">
        <v>45895</v>
      </c>
      <c r="K186" t="str">
        <f t="shared" si="19"/>
        <v>August</v>
      </c>
      <c r="L186">
        <f t="shared" si="21"/>
        <v>8</v>
      </c>
      <c r="M186" t="s">
        <v>26</v>
      </c>
      <c r="N186" t="s">
        <v>36</v>
      </c>
      <c r="O186">
        <v>2300</v>
      </c>
      <c r="P186">
        <v>9100</v>
      </c>
      <c r="Q186">
        <v>4600</v>
      </c>
      <c r="R186">
        <v>28000</v>
      </c>
      <c r="S186" t="s">
        <v>37</v>
      </c>
      <c r="T186" t="s">
        <v>15</v>
      </c>
      <c r="U186">
        <v>44000</v>
      </c>
      <c r="V186">
        <v>7</v>
      </c>
      <c r="W186">
        <v>5</v>
      </c>
      <c r="X186" t="s">
        <v>543</v>
      </c>
      <c r="Y186" t="s">
        <v>744</v>
      </c>
      <c r="Z186" s="1">
        <v>45895</v>
      </c>
      <c r="AA186" s="1">
        <f>Table1[[#This Row],[Admission_Date]]+Table1[[#This Row],[Length_of_Stay]]</f>
        <v>45902</v>
      </c>
      <c r="AB186" t="str">
        <f t="shared" ca="1" si="22"/>
        <v>ICU</v>
      </c>
      <c r="AC186" t="str">
        <f ca="1">IF(AB186="General Ward","GW"&amp;TEXT(COUNTIF($AB$2:AB186,"General Ward"),"000"),IF(AB186="Semi Private","SP"&amp;TEXT(COUNTIF($AB$2:AB186,"Semi Private"),"000"),IF(AB186="Private Room","PR"&amp;TEXT(COUNTIF($AB$2:AB186,"Private Room"),"000"),IF(AB186="ICU","ICU"&amp;TEXT(COUNTIF($AB$2:AB186,"ICU"),"000"),"N/A"))))</f>
        <v>ICU013</v>
      </c>
      <c r="AD186" t="str">
        <f t="shared" ca="1" si="20"/>
        <v>Available</v>
      </c>
      <c r="AE186" s="2" t="str">
        <f t="shared" ca="1" si="23"/>
        <v>Scheduled</v>
      </c>
    </row>
    <row r="187" spans="1:31" x14ac:dyDescent="0.3">
      <c r="A187" t="s">
        <v>340</v>
      </c>
      <c r="B187" t="s">
        <v>138</v>
      </c>
      <c r="C187" t="s">
        <v>32</v>
      </c>
      <c r="D187">
        <v>24</v>
      </c>
      <c r="E187" t="str" cm="1">
        <f t="array" aca="1" ref="E187" ca="1">_xlfn.IFS(
H187="Cardiology",CHOOSE(RANDBETWEEN(1,6),"Hypertension","Arrhythmia","Angina","Heart Failure","Chest Pain","Coronary Artery Disease"),
H187="General Medicine",CHOOSE(RANDBETWEEN(1,6),"Viral Fever","Influenza","Diabetes","Gastritis","Typhoid","Food Poisoning"),
H187="Orthopedics",CHOOSE(RANDBETWEEN(1,6),"Fracture","Arthritis","Back Pain","Joint Pain","Knee Injury","Shoulder Dislocation"),
H187="Neurology",CHOOSE(RANDBETWEEN(1,6),"Migraine","Stroke","Epilepsy","Vertigo","Parkinson's Disease","Peripheral Neuropathy"),
H187="Pediatrics",CHOOSE(RANDBETWEEN(1,6),"Common Cold","Asthma","Pneumonia","Ear Infection","Viral Fever","Stomach Infection"),
H187="Dermatology",CHOOSE(RANDBETWEEN(1,6),"Acne","Eczema","Psoriasis","Fungal Infection","Heat Rash","Contact Dermatitis"),
H187="ENT",CHOOSE(RANDBETWEEN(1,6),"Sinusitis","Tonsillitis","Ear Infection","Throat Infection","Allergic Rhinitis","Otitis Media"),
H187="Gynecology",CHOOSE(RANDBETWEEN(1,6),"PCOS","UTI","Pregnancy Checkup","Menstrual Disorder","Ovarian Cyst","Endometriosis")
)</f>
        <v>Pneumonia</v>
      </c>
      <c r="F187" t="str" cm="1">
        <f t="array" ref="F187">_xlfn.SWITCH(K187,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87" t="s">
        <v>23</v>
      </c>
      <c r="H187" t="s">
        <v>48</v>
      </c>
      <c r="I187" t="s">
        <v>108</v>
      </c>
      <c r="J187" s="1">
        <v>45896</v>
      </c>
      <c r="K187" t="str">
        <f t="shared" si="19"/>
        <v>August</v>
      </c>
      <c r="L187">
        <f t="shared" si="21"/>
        <v>8</v>
      </c>
      <c r="M187" t="s">
        <v>26</v>
      </c>
      <c r="N187" t="s">
        <v>27</v>
      </c>
      <c r="O187">
        <v>700</v>
      </c>
      <c r="P187">
        <v>500</v>
      </c>
      <c r="Q187">
        <v>400</v>
      </c>
      <c r="R187">
        <v>0</v>
      </c>
      <c r="S187" t="s">
        <v>28</v>
      </c>
      <c r="T187" t="s">
        <v>29</v>
      </c>
      <c r="U187">
        <v>1600</v>
      </c>
      <c r="V187">
        <v>0</v>
      </c>
      <c r="W187">
        <v>4.9000000000000004</v>
      </c>
      <c r="X187" t="s">
        <v>544</v>
      </c>
      <c r="Y187" t="s">
        <v>745</v>
      </c>
      <c r="Z187" s="1">
        <v>45896</v>
      </c>
      <c r="AA187" s="1">
        <f>Table1[[#This Row],[Admission_Date]]+Table1[[#This Row],[Length_of_Stay]]</f>
        <v>45896</v>
      </c>
      <c r="AB187" t="str">
        <f t="shared" ca="1" si="22"/>
        <v>N/A</v>
      </c>
      <c r="AC187" t="str">
        <f ca="1">IF(AB187="General Ward","GW"&amp;TEXT(COUNTIF($AB$2:AB187,"General Ward"),"000"),IF(AB187="Semi Private","SP"&amp;TEXT(COUNTIF($AB$2:AB187,"Semi Private"),"000"),IF(AB187="Private Room","PR"&amp;TEXT(COUNTIF($AB$2:AB187,"Private Room"),"000"),IF(AB187="ICU","ICU"&amp;TEXT(COUNTIF($AB$2:AB187,"ICU"),"000"),"N/A"))))</f>
        <v>N/A</v>
      </c>
      <c r="AD187" t="str">
        <f t="shared" ca="1" si="20"/>
        <v>Not Admitted</v>
      </c>
      <c r="AE187" s="2" t="str">
        <f t="shared" ca="1" si="23"/>
        <v>N/A</v>
      </c>
    </row>
    <row r="188" spans="1:31" x14ac:dyDescent="0.3">
      <c r="A188" t="s">
        <v>341</v>
      </c>
      <c r="B188" t="s">
        <v>182</v>
      </c>
      <c r="C188" t="s">
        <v>22</v>
      </c>
      <c r="D188">
        <v>53</v>
      </c>
      <c r="E188" t="str" cm="1">
        <f t="array" aca="1" ref="E188" ca="1">_xlfn.IFS(
H188="Cardiology",CHOOSE(RANDBETWEEN(1,6),"Hypertension","Arrhythmia","Angina","Heart Failure","Chest Pain","Coronary Artery Disease"),
H188="General Medicine",CHOOSE(RANDBETWEEN(1,6),"Viral Fever","Influenza","Diabetes","Gastritis","Typhoid","Food Poisoning"),
H188="Orthopedics",CHOOSE(RANDBETWEEN(1,6),"Fracture","Arthritis","Back Pain","Joint Pain","Knee Injury","Shoulder Dislocation"),
H188="Neurology",CHOOSE(RANDBETWEEN(1,6),"Migraine","Stroke","Epilepsy","Vertigo","Parkinson's Disease","Peripheral Neuropathy"),
H188="Pediatrics",CHOOSE(RANDBETWEEN(1,6),"Common Cold","Asthma","Pneumonia","Ear Infection","Viral Fever","Stomach Infection"),
H188="Dermatology",CHOOSE(RANDBETWEEN(1,6),"Acne","Eczema","Psoriasis","Fungal Infection","Heat Rash","Contact Dermatitis"),
H188="ENT",CHOOSE(RANDBETWEEN(1,6),"Sinusitis","Tonsillitis","Ear Infection","Throat Infection","Allergic Rhinitis","Otitis Media"),
H188="Gynecology",CHOOSE(RANDBETWEEN(1,6),"PCOS","UTI","Pregnancy Checkup","Menstrual Disorder","Ovarian Cyst","Endometriosis")
)</f>
        <v>Arthritis</v>
      </c>
      <c r="F188" t="str" cm="1">
        <f t="array" ref="F188">_xlfn.SWITCH(K188,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88" t="s">
        <v>47</v>
      </c>
      <c r="H188" t="s">
        <v>41</v>
      </c>
      <c r="I188" t="s">
        <v>81</v>
      </c>
      <c r="J188" s="1">
        <v>45897</v>
      </c>
      <c r="K188" t="str">
        <f t="shared" si="19"/>
        <v>August</v>
      </c>
      <c r="L188">
        <f t="shared" si="21"/>
        <v>8</v>
      </c>
      <c r="M188" t="s">
        <v>26</v>
      </c>
      <c r="N188" t="s">
        <v>36</v>
      </c>
      <c r="O188">
        <v>1900</v>
      </c>
      <c r="P188">
        <v>6800</v>
      </c>
      <c r="Q188">
        <v>3400</v>
      </c>
      <c r="R188">
        <v>22000</v>
      </c>
      <c r="S188" t="s">
        <v>37</v>
      </c>
      <c r="T188" t="s">
        <v>15</v>
      </c>
      <c r="U188">
        <v>34100</v>
      </c>
      <c r="V188">
        <v>5</v>
      </c>
      <c r="W188">
        <v>4.8</v>
      </c>
      <c r="X188" t="s">
        <v>545</v>
      </c>
      <c r="Y188" t="s">
        <v>746</v>
      </c>
      <c r="Z188" s="1">
        <v>45897</v>
      </c>
      <c r="AA188" s="1">
        <f>Table1[[#This Row],[Admission_Date]]+Table1[[#This Row],[Length_of_Stay]]</f>
        <v>45902</v>
      </c>
      <c r="AB188" t="str">
        <f t="shared" ca="1" si="22"/>
        <v>General Ward</v>
      </c>
      <c r="AC188" t="str">
        <f ca="1">IF(AB188="General Ward","GW"&amp;TEXT(COUNTIF($AB$2:AB188,"General Ward"),"000"),IF(AB188="Semi Private","SP"&amp;TEXT(COUNTIF($AB$2:AB188,"Semi Private"),"000"),IF(AB188="Private Room","PR"&amp;TEXT(COUNTIF($AB$2:AB188,"Private Room"),"000"),IF(AB188="ICU","ICU"&amp;TEXT(COUNTIF($AB$2:AB188,"ICU"),"000"),"N/A"))))</f>
        <v>GW011</v>
      </c>
      <c r="AD188" t="str">
        <f t="shared" ca="1" si="20"/>
        <v>Occupied</v>
      </c>
      <c r="AE188" s="2" t="str">
        <f t="shared" ca="1" si="23"/>
        <v>Scheduled</v>
      </c>
    </row>
    <row r="189" spans="1:31" x14ac:dyDescent="0.3">
      <c r="A189" t="s">
        <v>342</v>
      </c>
      <c r="B189" t="s">
        <v>201</v>
      </c>
      <c r="C189" t="s">
        <v>32</v>
      </c>
      <c r="D189">
        <v>32</v>
      </c>
      <c r="E189" t="str" cm="1">
        <f t="array" aca="1" ref="E189" ca="1">_xlfn.IFS(
H189="Cardiology",CHOOSE(RANDBETWEEN(1,6),"Hypertension","Arrhythmia","Angina","Heart Failure","Chest Pain","Coronary Artery Disease"),
H189="General Medicine",CHOOSE(RANDBETWEEN(1,6),"Viral Fever","Influenza","Diabetes","Gastritis","Typhoid","Food Poisoning"),
H189="Orthopedics",CHOOSE(RANDBETWEEN(1,6),"Fracture","Arthritis","Back Pain","Joint Pain","Knee Injury","Shoulder Dislocation"),
H189="Neurology",CHOOSE(RANDBETWEEN(1,6),"Migraine","Stroke","Epilepsy","Vertigo","Parkinson's Disease","Peripheral Neuropathy"),
H189="Pediatrics",CHOOSE(RANDBETWEEN(1,6),"Common Cold","Asthma","Pneumonia","Ear Infection","Viral Fever","Stomach Infection"),
H189="Dermatology",CHOOSE(RANDBETWEEN(1,6),"Acne","Eczema","Psoriasis","Fungal Infection","Heat Rash","Contact Dermatitis"),
H189="ENT",CHOOSE(RANDBETWEEN(1,6),"Sinusitis","Tonsillitis","Ear Infection","Throat Infection","Allergic Rhinitis","Otitis Media"),
H189="Gynecology",CHOOSE(RANDBETWEEN(1,6),"PCOS","UTI","Pregnancy Checkup","Menstrual Disorder","Ovarian Cyst","Endometriosis")
)</f>
        <v>Allergic Rhinitis</v>
      </c>
      <c r="F189" t="str" cm="1">
        <f t="array" ref="F189">_xlfn.SWITCH(K189,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89" t="s">
        <v>40</v>
      </c>
      <c r="H189" t="s">
        <v>64</v>
      </c>
      <c r="I189" t="s">
        <v>65</v>
      </c>
      <c r="J189" s="1">
        <v>45898</v>
      </c>
      <c r="K189" t="str">
        <f t="shared" si="19"/>
        <v>August</v>
      </c>
      <c r="L189">
        <f t="shared" si="21"/>
        <v>8</v>
      </c>
      <c r="M189" t="s">
        <v>26</v>
      </c>
      <c r="N189" t="s">
        <v>27</v>
      </c>
      <c r="O189">
        <v>1000</v>
      </c>
      <c r="P189">
        <v>900</v>
      </c>
      <c r="Q189">
        <v>600</v>
      </c>
      <c r="R189">
        <v>0</v>
      </c>
      <c r="S189" t="s">
        <v>28</v>
      </c>
      <c r="T189" t="s">
        <v>50</v>
      </c>
      <c r="U189">
        <v>2500</v>
      </c>
      <c r="V189">
        <v>0</v>
      </c>
      <c r="W189">
        <v>4.7</v>
      </c>
      <c r="X189" t="s">
        <v>546</v>
      </c>
      <c r="Y189" t="s">
        <v>747</v>
      </c>
      <c r="Z189" s="1">
        <v>45898</v>
      </c>
      <c r="AA189" s="1">
        <f>Table1[[#This Row],[Admission_Date]]+Table1[[#This Row],[Length_of_Stay]]</f>
        <v>45898</v>
      </c>
      <c r="AB189" t="str">
        <f t="shared" ca="1" si="22"/>
        <v>N/A</v>
      </c>
      <c r="AC189" t="str">
        <f ca="1">IF(AB189="General Ward","GW"&amp;TEXT(COUNTIF($AB$2:AB189,"General Ward"),"000"),IF(AB189="Semi Private","SP"&amp;TEXT(COUNTIF($AB$2:AB189,"Semi Private"),"000"),IF(AB189="Private Room","PR"&amp;TEXT(COUNTIF($AB$2:AB189,"Private Room"),"000"),IF(AB189="ICU","ICU"&amp;TEXT(COUNTIF($AB$2:AB189,"ICU"),"000"),"N/A"))))</f>
        <v>N/A</v>
      </c>
      <c r="AD189" t="str">
        <f t="shared" ca="1" si="20"/>
        <v>Not Admitted</v>
      </c>
      <c r="AE189" s="2" t="str">
        <f t="shared" ca="1" si="23"/>
        <v>N/A</v>
      </c>
    </row>
    <row r="190" spans="1:31" x14ac:dyDescent="0.3">
      <c r="A190" t="s">
        <v>343</v>
      </c>
      <c r="B190" t="s">
        <v>39</v>
      </c>
      <c r="C190" t="s">
        <v>22</v>
      </c>
      <c r="D190">
        <v>39</v>
      </c>
      <c r="E190" t="str" cm="1">
        <f t="array" aca="1" ref="E190" ca="1">_xlfn.IFS(
H190="Cardiology",CHOOSE(RANDBETWEEN(1,6),"Hypertension","Arrhythmia","Angina","Heart Failure","Chest Pain","Coronary Artery Disease"),
H190="General Medicine",CHOOSE(RANDBETWEEN(1,6),"Viral Fever","Influenza","Diabetes","Gastritis","Typhoid","Food Poisoning"),
H190="Orthopedics",CHOOSE(RANDBETWEEN(1,6),"Fracture","Arthritis","Back Pain","Joint Pain","Knee Injury","Shoulder Dislocation"),
H190="Neurology",CHOOSE(RANDBETWEEN(1,6),"Migraine","Stroke","Epilepsy","Vertigo","Parkinson's Disease","Peripheral Neuropathy"),
H190="Pediatrics",CHOOSE(RANDBETWEEN(1,6),"Common Cold","Asthma","Pneumonia","Ear Infection","Viral Fever","Stomach Infection"),
H190="Dermatology",CHOOSE(RANDBETWEEN(1,6),"Acne","Eczema","Psoriasis","Fungal Infection","Heat Rash","Contact Dermatitis"),
H190="ENT",CHOOSE(RANDBETWEEN(1,6),"Sinusitis","Tonsillitis","Ear Infection","Throat Infection","Allergic Rhinitis","Otitis Media"),
H190="Gynecology",CHOOSE(RANDBETWEEN(1,6),"PCOS","UTI","Pregnancy Checkup","Menstrual Disorder","Ovarian Cyst","Endometriosis")
)</f>
        <v>Chest Pain</v>
      </c>
      <c r="F190" t="str" cm="1">
        <f t="array" ref="F190">_xlfn.SWITCH(K190,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90" t="s">
        <v>33</v>
      </c>
      <c r="H190" t="s">
        <v>24</v>
      </c>
      <c r="I190" t="s">
        <v>93</v>
      </c>
      <c r="J190" s="1">
        <v>45899</v>
      </c>
      <c r="K190" t="str">
        <f t="shared" si="19"/>
        <v>August</v>
      </c>
      <c r="L190">
        <f t="shared" si="21"/>
        <v>8</v>
      </c>
      <c r="M190" t="s">
        <v>26</v>
      </c>
      <c r="N190" t="s">
        <v>27</v>
      </c>
      <c r="O190">
        <v>1500</v>
      </c>
      <c r="P190">
        <v>1800</v>
      </c>
      <c r="Q190">
        <v>1000</v>
      </c>
      <c r="R190">
        <v>0</v>
      </c>
      <c r="S190" t="s">
        <v>28</v>
      </c>
      <c r="T190" t="s">
        <v>44</v>
      </c>
      <c r="U190">
        <v>4300</v>
      </c>
      <c r="V190">
        <v>0</v>
      </c>
      <c r="W190">
        <v>4.8</v>
      </c>
      <c r="X190" t="s">
        <v>547</v>
      </c>
      <c r="Y190" t="s">
        <v>748</v>
      </c>
      <c r="Z190" s="1">
        <v>45899</v>
      </c>
      <c r="AA190" s="1">
        <f>Table1[[#This Row],[Admission_Date]]+Table1[[#This Row],[Length_of_Stay]]</f>
        <v>45899</v>
      </c>
      <c r="AB190" t="str">
        <f t="shared" ca="1" si="22"/>
        <v>N/A</v>
      </c>
      <c r="AC190" t="str">
        <f ca="1">IF(AB190="General Ward","GW"&amp;TEXT(COUNTIF($AB$2:AB190,"General Ward"),"000"),IF(AB190="Semi Private","SP"&amp;TEXT(COUNTIF($AB$2:AB190,"Semi Private"),"000"),IF(AB190="Private Room","PR"&amp;TEXT(COUNTIF($AB$2:AB190,"Private Room"),"000"),IF(AB190="ICU","ICU"&amp;TEXT(COUNTIF($AB$2:AB190,"ICU"),"000"),"N/A"))))</f>
        <v>N/A</v>
      </c>
      <c r="AD190" t="str">
        <f t="shared" ca="1" si="20"/>
        <v>Not Admitted</v>
      </c>
      <c r="AE190" s="2" t="str">
        <f t="shared" ca="1" si="23"/>
        <v>N/A</v>
      </c>
    </row>
    <row r="191" spans="1:31" x14ac:dyDescent="0.3">
      <c r="A191" t="s">
        <v>344</v>
      </c>
      <c r="B191" t="s">
        <v>67</v>
      </c>
      <c r="C191" t="s">
        <v>32</v>
      </c>
      <c r="D191">
        <v>29</v>
      </c>
      <c r="E191" t="str" cm="1">
        <f t="array" aca="1" ref="E191" ca="1">_xlfn.IFS(
H191="Cardiology",CHOOSE(RANDBETWEEN(1,6),"Hypertension","Arrhythmia","Angina","Heart Failure","Chest Pain","Coronary Artery Disease"),
H191="General Medicine",CHOOSE(RANDBETWEEN(1,6),"Viral Fever","Influenza","Diabetes","Gastritis","Typhoid","Food Poisoning"),
H191="Orthopedics",CHOOSE(RANDBETWEEN(1,6),"Fracture","Arthritis","Back Pain","Joint Pain","Knee Injury","Shoulder Dislocation"),
H191="Neurology",CHOOSE(RANDBETWEEN(1,6),"Migraine","Stroke","Epilepsy","Vertigo","Parkinson's Disease","Peripheral Neuropathy"),
H191="Pediatrics",CHOOSE(RANDBETWEEN(1,6),"Common Cold","Asthma","Pneumonia","Ear Infection","Viral Fever","Stomach Infection"),
H191="Dermatology",CHOOSE(RANDBETWEEN(1,6),"Acne","Eczema","Psoriasis","Fungal Infection","Heat Rash","Contact Dermatitis"),
H191="ENT",CHOOSE(RANDBETWEEN(1,6),"Sinusitis","Tonsillitis","Ear Infection","Throat Infection","Allergic Rhinitis","Otitis Media"),
H191="Gynecology",CHOOSE(RANDBETWEEN(1,6),"PCOS","UTI","Pregnancy Checkup","Menstrual Disorder","Ovarian Cyst","Endometriosis")
)</f>
        <v>Eczema</v>
      </c>
      <c r="F191" t="str" cm="1">
        <f t="array" ref="F191">_xlfn.SWITCH(K191,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91" t="s">
        <v>53</v>
      </c>
      <c r="H191" t="s">
        <v>58</v>
      </c>
      <c r="I191" t="s">
        <v>84</v>
      </c>
      <c r="J191" s="1">
        <v>45900</v>
      </c>
      <c r="K191" t="str">
        <f t="shared" si="19"/>
        <v>August</v>
      </c>
      <c r="L191">
        <f t="shared" si="21"/>
        <v>8</v>
      </c>
      <c r="M191" t="s">
        <v>26</v>
      </c>
      <c r="N191" t="s">
        <v>27</v>
      </c>
      <c r="O191">
        <v>900</v>
      </c>
      <c r="P191">
        <v>700</v>
      </c>
      <c r="Q191">
        <v>500</v>
      </c>
      <c r="R191">
        <v>0</v>
      </c>
      <c r="S191" t="s">
        <v>28</v>
      </c>
      <c r="T191" t="s">
        <v>29</v>
      </c>
      <c r="U191">
        <v>2100</v>
      </c>
      <c r="V191">
        <v>0</v>
      </c>
      <c r="W191">
        <v>4.9000000000000004</v>
      </c>
      <c r="X191" t="s">
        <v>548</v>
      </c>
      <c r="Y191" t="s">
        <v>749</v>
      </c>
      <c r="Z191" s="1">
        <v>45900</v>
      </c>
      <c r="AA191" s="1">
        <f>Table1[[#This Row],[Admission_Date]]+Table1[[#This Row],[Length_of_Stay]]</f>
        <v>45900</v>
      </c>
      <c r="AB191" t="str">
        <f t="shared" ca="1" si="22"/>
        <v>N/A</v>
      </c>
      <c r="AC191" t="str">
        <f ca="1">IF(AB191="General Ward","GW"&amp;TEXT(COUNTIF($AB$2:AB191,"General Ward"),"000"),IF(AB191="Semi Private","SP"&amp;TEXT(COUNTIF($AB$2:AB191,"Semi Private"),"000"),IF(AB191="Private Room","PR"&amp;TEXT(COUNTIF($AB$2:AB191,"Private Room"),"000"),IF(AB191="ICU","ICU"&amp;TEXT(COUNTIF($AB$2:AB191,"ICU"),"000"),"N/A"))))</f>
        <v>N/A</v>
      </c>
      <c r="AD191" t="str">
        <f t="shared" ca="1" si="20"/>
        <v>Not Admitted</v>
      </c>
      <c r="AE191" s="2" t="str">
        <f t="shared" ca="1" si="23"/>
        <v>N/A</v>
      </c>
    </row>
    <row r="192" spans="1:31" x14ac:dyDescent="0.3">
      <c r="A192" t="s">
        <v>345</v>
      </c>
      <c r="B192" t="s">
        <v>299</v>
      </c>
      <c r="C192" t="s">
        <v>22</v>
      </c>
      <c r="D192">
        <v>47</v>
      </c>
      <c r="E192" t="str" cm="1">
        <f t="array" aca="1" ref="E192" ca="1">_xlfn.IFS(
H192="Cardiology",CHOOSE(RANDBETWEEN(1,6),"Hypertension","Arrhythmia","Angina","Heart Failure","Chest Pain","Coronary Artery Disease"),
H192="General Medicine",CHOOSE(RANDBETWEEN(1,6),"Viral Fever","Influenza","Diabetes","Gastritis","Typhoid","Food Poisoning"),
H192="Orthopedics",CHOOSE(RANDBETWEEN(1,6),"Fracture","Arthritis","Back Pain","Joint Pain","Knee Injury","Shoulder Dislocation"),
H192="Neurology",CHOOSE(RANDBETWEEN(1,6),"Migraine","Stroke","Epilepsy","Vertigo","Parkinson's Disease","Peripheral Neuropathy"),
H192="Pediatrics",CHOOSE(RANDBETWEEN(1,6),"Common Cold","Asthma","Pneumonia","Ear Infection","Viral Fever","Stomach Infection"),
H192="Dermatology",CHOOSE(RANDBETWEEN(1,6),"Acne","Eczema","Psoriasis","Fungal Infection","Heat Rash","Contact Dermatitis"),
H192="ENT",CHOOSE(RANDBETWEEN(1,6),"Sinusitis","Tonsillitis","Ear Infection","Throat Infection","Allergic Rhinitis","Otitis Media"),
H192="Gynecology",CHOOSE(RANDBETWEEN(1,6),"PCOS","UTI","Pregnancy Checkup","Menstrual Disorder","Ovarian Cyst","Endometriosis")
)</f>
        <v>Typhoid</v>
      </c>
      <c r="F192" t="str" cm="1">
        <f t="array" ref="F192">_xlfn.SWITCH(K192,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92" t="s">
        <v>68</v>
      </c>
      <c r="H192" t="s">
        <v>73</v>
      </c>
      <c r="I192" t="s">
        <v>105</v>
      </c>
      <c r="J192" s="1">
        <v>45901</v>
      </c>
      <c r="K192" t="str">
        <f t="shared" si="19"/>
        <v>September</v>
      </c>
      <c r="L192">
        <f t="shared" si="21"/>
        <v>9</v>
      </c>
      <c r="M192" t="s">
        <v>26</v>
      </c>
      <c r="N192" t="s">
        <v>27</v>
      </c>
      <c r="O192">
        <v>900</v>
      </c>
      <c r="P192">
        <v>1300</v>
      </c>
      <c r="Q192">
        <v>900</v>
      </c>
      <c r="R192">
        <v>0</v>
      </c>
      <c r="S192" t="s">
        <v>28</v>
      </c>
      <c r="T192" t="s">
        <v>50</v>
      </c>
      <c r="U192">
        <v>3100</v>
      </c>
      <c r="V192">
        <v>0</v>
      </c>
      <c r="W192">
        <v>4.8</v>
      </c>
      <c r="X192" t="s">
        <v>549</v>
      </c>
      <c r="Y192" t="s">
        <v>750</v>
      </c>
      <c r="Z192" s="1">
        <v>45901</v>
      </c>
      <c r="AA192" s="1">
        <f>Table1[[#This Row],[Admission_Date]]+Table1[[#This Row],[Length_of_Stay]]</f>
        <v>45901</v>
      </c>
      <c r="AB192" t="str">
        <f t="shared" ca="1" si="22"/>
        <v>N/A</v>
      </c>
      <c r="AC192" t="str">
        <f ca="1">IF(AB192="General Ward","GW"&amp;TEXT(COUNTIF($AB$2:AB192,"General Ward"),"000"),IF(AB192="Semi Private","SP"&amp;TEXT(COUNTIF($AB$2:AB192,"Semi Private"),"000"),IF(AB192="Private Room","PR"&amp;TEXT(COUNTIF($AB$2:AB192,"Private Room"),"000"),IF(AB192="ICU","ICU"&amp;TEXT(COUNTIF($AB$2:AB192,"ICU"),"000"),"N/A"))))</f>
        <v>N/A</v>
      </c>
      <c r="AD192" t="str">
        <f t="shared" ca="1" si="20"/>
        <v>Not Admitted</v>
      </c>
      <c r="AE192" s="2" t="str">
        <f t="shared" ca="1" si="23"/>
        <v>N/A</v>
      </c>
    </row>
    <row r="193" spans="1:31" x14ac:dyDescent="0.3">
      <c r="A193" t="s">
        <v>346</v>
      </c>
      <c r="B193" t="s">
        <v>122</v>
      </c>
      <c r="C193" t="s">
        <v>32</v>
      </c>
      <c r="D193">
        <v>36</v>
      </c>
      <c r="E193" t="str" cm="1">
        <f t="array" aca="1" ref="E193" ca="1">_xlfn.IFS(
H193="Cardiology",CHOOSE(RANDBETWEEN(1,6),"Hypertension","Arrhythmia","Angina","Heart Failure","Chest Pain","Coronary Artery Disease"),
H193="General Medicine",CHOOSE(RANDBETWEEN(1,6),"Viral Fever","Influenza","Diabetes","Gastritis","Typhoid","Food Poisoning"),
H193="Orthopedics",CHOOSE(RANDBETWEEN(1,6),"Fracture","Arthritis","Back Pain","Joint Pain","Knee Injury","Shoulder Dislocation"),
H193="Neurology",CHOOSE(RANDBETWEEN(1,6),"Migraine","Stroke","Epilepsy","Vertigo","Parkinson's Disease","Peripheral Neuropathy"),
H193="Pediatrics",CHOOSE(RANDBETWEEN(1,6),"Common Cold","Asthma","Pneumonia","Ear Infection","Viral Fever","Stomach Infection"),
H193="Dermatology",CHOOSE(RANDBETWEEN(1,6),"Acne","Eczema","Psoriasis","Fungal Infection","Heat Rash","Contact Dermatitis"),
H193="ENT",CHOOSE(RANDBETWEEN(1,6),"Sinusitis","Tonsillitis","Ear Infection","Throat Infection","Allergic Rhinitis","Otitis Media"),
H193="Gynecology",CHOOSE(RANDBETWEEN(1,6),"PCOS","UTI","Pregnancy Checkup","Menstrual Disorder","Ovarian Cyst","Endometriosis")
)</f>
        <v>Menstrual Disorder</v>
      </c>
      <c r="F193" t="str" cm="1">
        <f t="array" ref="F193">_xlfn.SWITCH(K193,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93" t="s">
        <v>72</v>
      </c>
      <c r="H193" t="s">
        <v>34</v>
      </c>
      <c r="I193" t="s">
        <v>35</v>
      </c>
      <c r="J193" s="1">
        <v>45902</v>
      </c>
      <c r="K193" t="str">
        <f t="shared" si="19"/>
        <v>September</v>
      </c>
      <c r="L193">
        <f t="shared" si="21"/>
        <v>9</v>
      </c>
      <c r="M193" t="s">
        <v>26</v>
      </c>
      <c r="N193" t="s">
        <v>27</v>
      </c>
      <c r="O193">
        <v>1200</v>
      </c>
      <c r="P193">
        <v>1000</v>
      </c>
      <c r="Q193">
        <v>700</v>
      </c>
      <c r="R193">
        <v>0</v>
      </c>
      <c r="S193" t="s">
        <v>28</v>
      </c>
      <c r="T193" t="s">
        <v>44</v>
      </c>
      <c r="U193">
        <v>2900</v>
      </c>
      <c r="V193">
        <v>0</v>
      </c>
      <c r="W193">
        <v>4.9000000000000004</v>
      </c>
      <c r="X193" t="s">
        <v>550</v>
      </c>
      <c r="Y193" t="s">
        <v>751</v>
      </c>
      <c r="Z193" s="1">
        <v>45902</v>
      </c>
      <c r="AA193" s="1">
        <f>Table1[[#This Row],[Admission_Date]]+Table1[[#This Row],[Length_of_Stay]]</f>
        <v>45902</v>
      </c>
      <c r="AB193" t="str">
        <f t="shared" ca="1" si="22"/>
        <v>N/A</v>
      </c>
      <c r="AC193" t="str">
        <f ca="1">IF(AB193="General Ward","GW"&amp;TEXT(COUNTIF($AB$2:AB193,"General Ward"),"000"),IF(AB193="Semi Private","SP"&amp;TEXT(COUNTIF($AB$2:AB193,"Semi Private"),"000"),IF(AB193="Private Room","PR"&amp;TEXT(COUNTIF($AB$2:AB193,"Private Room"),"000"),IF(AB193="ICU","ICU"&amp;TEXT(COUNTIF($AB$2:AB193,"ICU"),"000"),"N/A"))))</f>
        <v>N/A</v>
      </c>
      <c r="AD193" t="str">
        <f t="shared" ca="1" si="20"/>
        <v>Not Admitted</v>
      </c>
      <c r="AE193" s="2" t="str">
        <f t="shared" ca="1" si="23"/>
        <v>N/A</v>
      </c>
    </row>
    <row r="194" spans="1:31" x14ac:dyDescent="0.3">
      <c r="A194" t="s">
        <v>347</v>
      </c>
      <c r="B194" t="s">
        <v>140</v>
      </c>
      <c r="C194" t="s">
        <v>22</v>
      </c>
      <c r="D194">
        <v>58</v>
      </c>
      <c r="E194" t="str" cm="1">
        <f t="array" aca="1" ref="E194" ca="1">_xlfn.IFS(
H194="Cardiology",CHOOSE(RANDBETWEEN(1,6),"Hypertension","Arrhythmia","Angina","Heart Failure","Chest Pain","Coronary Artery Disease"),
H194="General Medicine",CHOOSE(RANDBETWEEN(1,6),"Viral Fever","Influenza","Diabetes","Gastritis","Typhoid","Food Poisoning"),
H194="Orthopedics",CHOOSE(RANDBETWEEN(1,6),"Fracture","Arthritis","Back Pain","Joint Pain","Knee Injury","Shoulder Dislocation"),
H194="Neurology",CHOOSE(RANDBETWEEN(1,6),"Migraine","Stroke","Epilepsy","Vertigo","Parkinson's Disease","Peripheral Neuropathy"),
H194="Pediatrics",CHOOSE(RANDBETWEEN(1,6),"Common Cold","Asthma","Pneumonia","Ear Infection","Viral Fever","Stomach Infection"),
H194="Dermatology",CHOOSE(RANDBETWEEN(1,6),"Acne","Eczema","Psoriasis","Fungal Infection","Heat Rash","Contact Dermatitis"),
H194="ENT",CHOOSE(RANDBETWEEN(1,6),"Sinusitis","Tonsillitis","Ear Infection","Throat Infection","Allergic Rhinitis","Otitis Media"),
H194="Gynecology",CHOOSE(RANDBETWEEN(1,6),"PCOS","UTI","Pregnancy Checkup","Menstrual Disorder","Ovarian Cyst","Endometriosis")
)</f>
        <v>Vertigo</v>
      </c>
      <c r="F194" t="str" cm="1">
        <f t="array" ref="F194">_xlfn.SWITCH(K194,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94" t="s">
        <v>63</v>
      </c>
      <c r="H194" t="s">
        <v>54</v>
      </c>
      <c r="I194" t="s">
        <v>55</v>
      </c>
      <c r="J194" s="1">
        <v>45903</v>
      </c>
      <c r="K194" t="str">
        <f t="shared" si="19"/>
        <v>September</v>
      </c>
      <c r="L194">
        <f t="shared" ref="L194:L201" si="24">MONTH(J194)</f>
        <v>9</v>
      </c>
      <c r="M194" t="s">
        <v>26</v>
      </c>
      <c r="N194" t="s">
        <v>36</v>
      </c>
      <c r="O194">
        <v>2200</v>
      </c>
      <c r="P194">
        <v>8600</v>
      </c>
      <c r="Q194">
        <v>4300</v>
      </c>
      <c r="R194">
        <v>26000</v>
      </c>
      <c r="S194" t="s">
        <v>37</v>
      </c>
      <c r="T194" t="s">
        <v>15</v>
      </c>
      <c r="U194">
        <v>41100</v>
      </c>
      <c r="V194">
        <v>6</v>
      </c>
      <c r="W194">
        <v>4.9000000000000004</v>
      </c>
      <c r="X194" t="s">
        <v>551</v>
      </c>
      <c r="Y194" t="s">
        <v>752</v>
      </c>
      <c r="Z194" s="1">
        <v>45903</v>
      </c>
      <c r="AA194" s="1">
        <f>Table1[[#This Row],[Admission_Date]]+Table1[[#This Row],[Length_of_Stay]]</f>
        <v>45909</v>
      </c>
      <c r="AB194" t="str">
        <f t="shared" ref="AB194:AB201" ca="1" si="25">IF(N194="OP","N/A",CHOOSE(RANDBETWEEN(1,4),"General Ward","Semi Private","Private Room","ICU"))</f>
        <v>Semi Private</v>
      </c>
      <c r="AC194" t="str">
        <f ca="1">IF(AB194="General Ward","GW"&amp;TEXT(COUNTIF($AB$2:AB194,"General Ward"),"000"),IF(AB194="Semi Private","SP"&amp;TEXT(COUNTIF($AB$2:AB194,"Semi Private"),"000"),IF(AB194="Private Room","PR"&amp;TEXT(COUNTIF($AB$2:AB194,"Private Room"),"000"),IF(AB194="ICU","ICU"&amp;TEXT(COUNTIF($AB$2:AB194,"ICU"),"000"),"N/A"))))</f>
        <v>SP021</v>
      </c>
      <c r="AD194" t="str">
        <f t="shared" ca="1" si="20"/>
        <v>Available</v>
      </c>
      <c r="AE194" s="2" t="str">
        <f t="shared" ref="AE194:AE201" ca="1" si="26">IF(AB194="N/A","N/A",
IF(RAND()&lt;0.2,"Emergency",
IF(RAND()&lt;0.5,"Scheduled",
IF(RAND()&lt;0.8,"Walk-in","Referral"))))</f>
        <v>Emergency</v>
      </c>
    </row>
    <row r="195" spans="1:31" x14ac:dyDescent="0.3">
      <c r="A195" t="s">
        <v>348</v>
      </c>
      <c r="B195" t="s">
        <v>349</v>
      </c>
      <c r="C195" t="s">
        <v>32</v>
      </c>
      <c r="D195">
        <v>23</v>
      </c>
      <c r="E195" t="str" cm="1">
        <f t="array" aca="1" ref="E195" ca="1">_xlfn.IFS(
H195="Cardiology",CHOOSE(RANDBETWEEN(1,6),"Hypertension","Arrhythmia","Angina","Heart Failure","Chest Pain","Coronary Artery Disease"),
H195="General Medicine",CHOOSE(RANDBETWEEN(1,6),"Viral Fever","Influenza","Diabetes","Gastritis","Typhoid","Food Poisoning"),
H195="Orthopedics",CHOOSE(RANDBETWEEN(1,6),"Fracture","Arthritis","Back Pain","Joint Pain","Knee Injury","Shoulder Dislocation"),
H195="Neurology",CHOOSE(RANDBETWEEN(1,6),"Migraine","Stroke","Epilepsy","Vertigo","Parkinson's Disease","Peripheral Neuropathy"),
H195="Pediatrics",CHOOSE(RANDBETWEEN(1,6),"Common Cold","Asthma","Pneumonia","Ear Infection","Viral Fever","Stomach Infection"),
H195="Dermatology",CHOOSE(RANDBETWEEN(1,6),"Acne","Eczema","Psoriasis","Fungal Infection","Heat Rash","Contact Dermatitis"),
H195="ENT",CHOOSE(RANDBETWEEN(1,6),"Sinusitis","Tonsillitis","Ear Infection","Throat Infection","Allergic Rhinitis","Otitis Media"),
H195="Gynecology",CHOOSE(RANDBETWEEN(1,6),"PCOS","UTI","Pregnancy Checkup","Menstrual Disorder","Ovarian Cyst","Endometriosis")
)</f>
        <v>Common Cold</v>
      </c>
      <c r="F195" t="str" cm="1">
        <f t="array" ref="F195">_xlfn.SWITCH(K195,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95" t="s">
        <v>77</v>
      </c>
      <c r="H195" t="s">
        <v>48</v>
      </c>
      <c r="I195" t="s">
        <v>156</v>
      </c>
      <c r="J195" s="1">
        <v>45904</v>
      </c>
      <c r="K195" t="str">
        <f t="shared" ref="K195:K201" si="27">TEXT(J195,"MMMM")</f>
        <v>September</v>
      </c>
      <c r="L195">
        <f t="shared" si="24"/>
        <v>9</v>
      </c>
      <c r="M195" t="s">
        <v>26</v>
      </c>
      <c r="N195" t="s">
        <v>27</v>
      </c>
      <c r="O195">
        <v>700</v>
      </c>
      <c r="P195">
        <v>500</v>
      </c>
      <c r="Q195">
        <v>400</v>
      </c>
      <c r="R195">
        <v>0</v>
      </c>
      <c r="S195" t="s">
        <v>28</v>
      </c>
      <c r="T195" t="s">
        <v>29</v>
      </c>
      <c r="U195">
        <v>1600</v>
      </c>
      <c r="V195">
        <v>0</v>
      </c>
      <c r="W195">
        <v>4.8</v>
      </c>
      <c r="X195" t="s">
        <v>552</v>
      </c>
      <c r="Y195" t="s">
        <v>753</v>
      </c>
      <c r="Z195" s="1">
        <v>45904</v>
      </c>
      <c r="AA195" s="1">
        <f>Table1[[#This Row],[Admission_Date]]+Table1[[#This Row],[Length_of_Stay]]</f>
        <v>45904</v>
      </c>
      <c r="AB195" t="str">
        <f t="shared" ca="1" si="25"/>
        <v>N/A</v>
      </c>
      <c r="AC195" t="str">
        <f ca="1">IF(AB195="General Ward","GW"&amp;TEXT(COUNTIF($AB$2:AB195,"General Ward"),"000"),IF(AB195="Semi Private","SP"&amp;TEXT(COUNTIF($AB$2:AB195,"Semi Private"),"000"),IF(AB195="Private Room","PR"&amp;TEXT(COUNTIF($AB$2:AB195,"Private Room"),"000"),IF(AB195="ICU","ICU"&amp;TEXT(COUNTIF($AB$2:AB195,"ICU"),"000"),"N/A"))))</f>
        <v>N/A</v>
      </c>
      <c r="AD195" t="str">
        <f t="shared" ref="AD195:AD201" ca="1" si="28">IF(AB195="N/A","Not Admitted",IF(RAND()&lt;0.5,"Occupied","Available"))</f>
        <v>Not Admitted</v>
      </c>
      <c r="AE195" s="2" t="str">
        <f t="shared" ca="1" si="26"/>
        <v>N/A</v>
      </c>
    </row>
    <row r="196" spans="1:31" x14ac:dyDescent="0.3">
      <c r="A196" t="s">
        <v>350</v>
      </c>
      <c r="B196" t="s">
        <v>116</v>
      </c>
      <c r="C196" t="s">
        <v>22</v>
      </c>
      <c r="D196">
        <v>40</v>
      </c>
      <c r="E196" t="str" cm="1">
        <f t="array" aca="1" ref="E196" ca="1">_xlfn.IFS(
H196="Cardiology",CHOOSE(RANDBETWEEN(1,6),"Hypertension","Arrhythmia","Angina","Heart Failure","Chest Pain","Coronary Artery Disease"),
H196="General Medicine",CHOOSE(RANDBETWEEN(1,6),"Viral Fever","Influenza","Diabetes","Gastritis","Typhoid","Food Poisoning"),
H196="Orthopedics",CHOOSE(RANDBETWEEN(1,6),"Fracture","Arthritis","Back Pain","Joint Pain","Knee Injury","Shoulder Dislocation"),
H196="Neurology",CHOOSE(RANDBETWEEN(1,6),"Migraine","Stroke","Epilepsy","Vertigo","Parkinson's Disease","Peripheral Neuropathy"),
H196="Pediatrics",CHOOSE(RANDBETWEEN(1,6),"Common Cold","Asthma","Pneumonia","Ear Infection","Viral Fever","Stomach Infection"),
H196="Dermatology",CHOOSE(RANDBETWEEN(1,6),"Acne","Eczema","Psoriasis","Fungal Infection","Heat Rash","Contact Dermatitis"),
H196="ENT",CHOOSE(RANDBETWEEN(1,6),"Sinusitis","Tonsillitis","Ear Infection","Throat Infection","Allergic Rhinitis","Otitis Media"),
H196="Gynecology",CHOOSE(RANDBETWEEN(1,6),"PCOS","UTI","Pregnancy Checkup","Menstrual Disorder","Ovarian Cyst","Endometriosis")
)</f>
        <v>Sinusitis</v>
      </c>
      <c r="F196" t="str" cm="1">
        <f t="array" ref="F196">_xlfn.SWITCH(K196,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96" t="s">
        <v>23</v>
      </c>
      <c r="H196" t="s">
        <v>64</v>
      </c>
      <c r="I196" t="s">
        <v>78</v>
      </c>
      <c r="J196" s="1">
        <v>45905</v>
      </c>
      <c r="K196" t="str">
        <f t="shared" si="27"/>
        <v>September</v>
      </c>
      <c r="L196">
        <f t="shared" si="24"/>
        <v>9</v>
      </c>
      <c r="M196" t="s">
        <v>26</v>
      </c>
      <c r="N196" t="s">
        <v>27</v>
      </c>
      <c r="O196">
        <v>1000</v>
      </c>
      <c r="P196">
        <v>900</v>
      </c>
      <c r="Q196">
        <v>700</v>
      </c>
      <c r="R196">
        <v>0</v>
      </c>
      <c r="S196" t="s">
        <v>28</v>
      </c>
      <c r="T196" t="s">
        <v>50</v>
      </c>
      <c r="U196">
        <v>2600</v>
      </c>
      <c r="V196">
        <v>0</v>
      </c>
      <c r="W196">
        <v>4.7</v>
      </c>
      <c r="X196" t="s">
        <v>553</v>
      </c>
      <c r="Y196" t="s">
        <v>754</v>
      </c>
      <c r="Z196" s="1">
        <v>45905</v>
      </c>
      <c r="AA196" s="1">
        <f>Table1[[#This Row],[Admission_Date]]+Table1[[#This Row],[Length_of_Stay]]</f>
        <v>45905</v>
      </c>
      <c r="AB196" t="str">
        <f t="shared" ca="1" si="25"/>
        <v>N/A</v>
      </c>
      <c r="AC196" t="str">
        <f ca="1">IF(AB196="General Ward","GW"&amp;TEXT(COUNTIF($AB$2:AB196,"General Ward"),"000"),IF(AB196="Semi Private","SP"&amp;TEXT(COUNTIF($AB$2:AB196,"Semi Private"),"000"),IF(AB196="Private Room","PR"&amp;TEXT(COUNTIF($AB$2:AB196,"Private Room"),"000"),IF(AB196="ICU","ICU"&amp;TEXT(COUNTIF($AB$2:AB196,"ICU"),"000"),"N/A"))))</f>
        <v>N/A</v>
      </c>
      <c r="AD196" t="str">
        <f t="shared" ca="1" si="28"/>
        <v>Not Admitted</v>
      </c>
      <c r="AE196" s="2" t="str">
        <f t="shared" ca="1" si="26"/>
        <v>N/A</v>
      </c>
    </row>
    <row r="197" spans="1:31" x14ac:dyDescent="0.3">
      <c r="A197" t="s">
        <v>351</v>
      </c>
      <c r="B197" t="s">
        <v>95</v>
      </c>
      <c r="C197" t="s">
        <v>32</v>
      </c>
      <c r="D197">
        <v>34</v>
      </c>
      <c r="E197" t="str" cm="1">
        <f t="array" aca="1" ref="E197" ca="1">_xlfn.IFS(
H197="Cardiology",CHOOSE(RANDBETWEEN(1,6),"Hypertension","Arrhythmia","Angina","Heart Failure","Chest Pain","Coronary Artery Disease"),
H197="General Medicine",CHOOSE(RANDBETWEEN(1,6),"Viral Fever","Influenza","Diabetes","Gastritis","Typhoid","Food Poisoning"),
H197="Orthopedics",CHOOSE(RANDBETWEEN(1,6),"Fracture","Arthritis","Back Pain","Joint Pain","Knee Injury","Shoulder Dislocation"),
H197="Neurology",CHOOSE(RANDBETWEEN(1,6),"Migraine","Stroke","Epilepsy","Vertigo","Parkinson's Disease","Peripheral Neuropathy"),
H197="Pediatrics",CHOOSE(RANDBETWEEN(1,6),"Common Cold","Asthma","Pneumonia","Ear Infection","Viral Fever","Stomach Infection"),
H197="Dermatology",CHOOSE(RANDBETWEEN(1,6),"Acne","Eczema","Psoriasis","Fungal Infection","Heat Rash","Contact Dermatitis"),
H197="ENT",CHOOSE(RANDBETWEEN(1,6),"Sinusitis","Tonsillitis","Ear Infection","Throat Infection","Allergic Rhinitis","Otitis Media"),
H197="Gynecology",CHOOSE(RANDBETWEEN(1,6),"PCOS","UTI","Pregnancy Checkup","Menstrual Disorder","Ovarian Cyst","Endometriosis")
)</f>
        <v>Fracture</v>
      </c>
      <c r="F197" t="str" cm="1">
        <f t="array" ref="F197">_xlfn.SWITCH(K197,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97" t="s">
        <v>47</v>
      </c>
      <c r="H197" t="s">
        <v>41</v>
      </c>
      <c r="I197" t="s">
        <v>102</v>
      </c>
      <c r="J197" s="1">
        <v>45906</v>
      </c>
      <c r="K197" t="str">
        <f t="shared" si="27"/>
        <v>September</v>
      </c>
      <c r="L197">
        <f t="shared" si="24"/>
        <v>9</v>
      </c>
      <c r="M197" t="s">
        <v>26</v>
      </c>
      <c r="N197" t="s">
        <v>27</v>
      </c>
      <c r="O197">
        <v>1400</v>
      </c>
      <c r="P197">
        <v>1700</v>
      </c>
      <c r="Q197">
        <v>900</v>
      </c>
      <c r="R197">
        <v>0</v>
      </c>
      <c r="S197" t="s">
        <v>28</v>
      </c>
      <c r="T197" t="s">
        <v>44</v>
      </c>
      <c r="U197">
        <v>4000</v>
      </c>
      <c r="V197">
        <v>0</v>
      </c>
      <c r="W197">
        <v>4.8</v>
      </c>
      <c r="X197" t="s">
        <v>554</v>
      </c>
      <c r="Y197" t="s">
        <v>755</v>
      </c>
      <c r="Z197" s="1">
        <v>45906</v>
      </c>
      <c r="AA197" s="1">
        <f>Table1[[#This Row],[Admission_Date]]+Table1[[#This Row],[Length_of_Stay]]</f>
        <v>45906</v>
      </c>
      <c r="AB197" t="str">
        <f t="shared" ca="1" si="25"/>
        <v>N/A</v>
      </c>
      <c r="AC197" t="str">
        <f ca="1">IF(AB197="General Ward","GW"&amp;TEXT(COUNTIF($AB$2:AB197,"General Ward"),"000"),IF(AB197="Semi Private","SP"&amp;TEXT(COUNTIF($AB$2:AB197,"Semi Private"),"000"),IF(AB197="Private Room","PR"&amp;TEXT(COUNTIF($AB$2:AB197,"Private Room"),"000"),IF(AB197="ICU","ICU"&amp;TEXT(COUNTIF($AB$2:AB197,"ICU"),"000"),"N/A"))))</f>
        <v>N/A</v>
      </c>
      <c r="AD197" t="str">
        <f t="shared" ca="1" si="28"/>
        <v>Not Admitted</v>
      </c>
      <c r="AE197" s="2" t="str">
        <f t="shared" ca="1" si="26"/>
        <v>N/A</v>
      </c>
    </row>
    <row r="198" spans="1:31" x14ac:dyDescent="0.3">
      <c r="A198" t="s">
        <v>352</v>
      </c>
      <c r="B198" t="s">
        <v>80</v>
      </c>
      <c r="C198" t="s">
        <v>22</v>
      </c>
      <c r="D198">
        <v>65</v>
      </c>
      <c r="E198" t="str" cm="1">
        <f t="array" aca="1" ref="E198" ca="1">_xlfn.IFS(
H198="Cardiology",CHOOSE(RANDBETWEEN(1,6),"Hypertension","Arrhythmia","Angina","Heart Failure","Chest Pain","Coronary Artery Disease"),
H198="General Medicine",CHOOSE(RANDBETWEEN(1,6),"Viral Fever","Influenza","Diabetes","Gastritis","Typhoid","Food Poisoning"),
H198="Orthopedics",CHOOSE(RANDBETWEEN(1,6),"Fracture","Arthritis","Back Pain","Joint Pain","Knee Injury","Shoulder Dislocation"),
H198="Neurology",CHOOSE(RANDBETWEEN(1,6),"Migraine","Stroke","Epilepsy","Vertigo","Parkinson's Disease","Peripheral Neuropathy"),
H198="Pediatrics",CHOOSE(RANDBETWEEN(1,6),"Common Cold","Asthma","Pneumonia","Ear Infection","Viral Fever","Stomach Infection"),
H198="Dermatology",CHOOSE(RANDBETWEEN(1,6),"Acne","Eczema","Psoriasis","Fungal Infection","Heat Rash","Contact Dermatitis"),
H198="ENT",CHOOSE(RANDBETWEEN(1,6),"Sinusitis","Tonsillitis","Ear Infection","Throat Infection","Allergic Rhinitis","Otitis Media"),
H198="Gynecology",CHOOSE(RANDBETWEEN(1,6),"PCOS","UTI","Pregnancy Checkup","Menstrual Disorder","Ovarian Cyst","Endometriosis")
)</f>
        <v>Coronary Artery Disease</v>
      </c>
      <c r="F198" t="str" cm="1">
        <f t="array" ref="F198">_xlfn.SWITCH(K198,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98" t="s">
        <v>40</v>
      </c>
      <c r="H198" t="s">
        <v>24</v>
      </c>
      <c r="I198" t="s">
        <v>25</v>
      </c>
      <c r="J198" s="1">
        <v>45907</v>
      </c>
      <c r="K198" t="str">
        <f t="shared" si="27"/>
        <v>September</v>
      </c>
      <c r="L198">
        <f t="shared" si="24"/>
        <v>9</v>
      </c>
      <c r="M198" t="s">
        <v>26</v>
      </c>
      <c r="N198" t="s">
        <v>36</v>
      </c>
      <c r="O198">
        <v>2400</v>
      </c>
      <c r="P198">
        <v>9500</v>
      </c>
      <c r="Q198">
        <v>4700</v>
      </c>
      <c r="R198">
        <v>29000</v>
      </c>
      <c r="S198" t="s">
        <v>37</v>
      </c>
      <c r="T198" t="s">
        <v>15</v>
      </c>
      <c r="U198">
        <v>45600</v>
      </c>
      <c r="V198">
        <v>8</v>
      </c>
      <c r="W198">
        <v>5</v>
      </c>
      <c r="X198" t="s">
        <v>555</v>
      </c>
      <c r="Y198" t="s">
        <v>756</v>
      </c>
      <c r="Z198" s="1">
        <v>45907</v>
      </c>
      <c r="AA198" s="1">
        <f>Table1[[#This Row],[Admission_Date]]+Table1[[#This Row],[Length_of_Stay]]</f>
        <v>45915</v>
      </c>
      <c r="AB198" t="str">
        <f t="shared" ca="1" si="25"/>
        <v>Semi Private</v>
      </c>
      <c r="AC198" t="str">
        <f ca="1">IF(AB198="General Ward","GW"&amp;TEXT(COUNTIF($AB$2:AB198,"General Ward"),"000"),IF(AB198="Semi Private","SP"&amp;TEXT(COUNTIF($AB$2:AB198,"Semi Private"),"000"),IF(AB198="Private Room","PR"&amp;TEXT(COUNTIF($AB$2:AB198,"Private Room"),"000"),IF(AB198="ICU","ICU"&amp;TEXT(COUNTIF($AB$2:AB198,"ICU"),"000"),"N/A"))))</f>
        <v>SP022</v>
      </c>
      <c r="AD198" t="str">
        <f t="shared" ca="1" si="28"/>
        <v>Available</v>
      </c>
      <c r="AE198" s="2" t="str">
        <f t="shared" ca="1" si="26"/>
        <v>Scheduled</v>
      </c>
    </row>
    <row r="199" spans="1:31" x14ac:dyDescent="0.3">
      <c r="A199" t="s">
        <v>353</v>
      </c>
      <c r="B199" t="s">
        <v>174</v>
      </c>
      <c r="C199" t="s">
        <v>32</v>
      </c>
      <c r="D199">
        <v>28</v>
      </c>
      <c r="E199" t="str" cm="1">
        <f t="array" aca="1" ref="E199" ca="1">_xlfn.IFS(
H199="Cardiology",CHOOSE(RANDBETWEEN(1,6),"Hypertension","Arrhythmia","Angina","Heart Failure","Chest Pain","Coronary Artery Disease"),
H199="General Medicine",CHOOSE(RANDBETWEEN(1,6),"Viral Fever","Influenza","Diabetes","Gastritis","Typhoid","Food Poisoning"),
H199="Orthopedics",CHOOSE(RANDBETWEEN(1,6),"Fracture","Arthritis","Back Pain","Joint Pain","Knee Injury","Shoulder Dislocation"),
H199="Neurology",CHOOSE(RANDBETWEEN(1,6),"Migraine","Stroke","Epilepsy","Vertigo","Parkinson's Disease","Peripheral Neuropathy"),
H199="Pediatrics",CHOOSE(RANDBETWEEN(1,6),"Common Cold","Asthma","Pneumonia","Ear Infection","Viral Fever","Stomach Infection"),
H199="Dermatology",CHOOSE(RANDBETWEEN(1,6),"Acne","Eczema","Psoriasis","Fungal Infection","Heat Rash","Contact Dermatitis"),
H199="ENT",CHOOSE(RANDBETWEEN(1,6),"Sinusitis","Tonsillitis","Ear Infection","Throat Infection","Allergic Rhinitis","Otitis Media"),
H199="Gynecology",CHOOSE(RANDBETWEEN(1,6),"PCOS","UTI","Pregnancy Checkup","Menstrual Disorder","Ovarian Cyst","Endometriosis")
)</f>
        <v>Fungal Infection</v>
      </c>
      <c r="F199" t="str" cm="1">
        <f t="array" ref="F199">_xlfn.SWITCH(K199,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199" t="s">
        <v>33</v>
      </c>
      <c r="H199" t="s">
        <v>58</v>
      </c>
      <c r="I199" t="s">
        <v>151</v>
      </c>
      <c r="J199" s="1">
        <v>45908</v>
      </c>
      <c r="K199" t="str">
        <f t="shared" si="27"/>
        <v>September</v>
      </c>
      <c r="L199">
        <f t="shared" si="24"/>
        <v>9</v>
      </c>
      <c r="M199" t="s">
        <v>26</v>
      </c>
      <c r="N199" t="s">
        <v>27</v>
      </c>
      <c r="O199">
        <v>900</v>
      </c>
      <c r="P199">
        <v>600</v>
      </c>
      <c r="Q199">
        <v>500</v>
      </c>
      <c r="R199">
        <v>0</v>
      </c>
      <c r="S199" t="s">
        <v>28</v>
      </c>
      <c r="T199" t="s">
        <v>29</v>
      </c>
      <c r="U199">
        <v>2000</v>
      </c>
      <c r="V199">
        <v>0</v>
      </c>
      <c r="W199">
        <v>4.8</v>
      </c>
      <c r="X199" t="s">
        <v>556</v>
      </c>
      <c r="Y199" t="s">
        <v>757</v>
      </c>
      <c r="Z199" s="1">
        <v>45908</v>
      </c>
      <c r="AA199" s="1">
        <f>Table1[[#This Row],[Admission_Date]]+Table1[[#This Row],[Length_of_Stay]]</f>
        <v>45908</v>
      </c>
      <c r="AB199" t="str">
        <f t="shared" ca="1" si="25"/>
        <v>N/A</v>
      </c>
      <c r="AC199" t="str">
        <f ca="1">IF(AB199="General Ward","GW"&amp;TEXT(COUNTIF($AB$2:AB199,"General Ward"),"000"),IF(AB199="Semi Private","SP"&amp;TEXT(COUNTIF($AB$2:AB199,"Semi Private"),"000"),IF(AB199="Private Room","PR"&amp;TEXT(COUNTIF($AB$2:AB199,"Private Room"),"000"),IF(AB199="ICU","ICU"&amp;TEXT(COUNTIF($AB$2:AB199,"ICU"),"000"),"N/A"))))</f>
        <v>N/A</v>
      </c>
      <c r="AD199" t="str">
        <f t="shared" ca="1" si="28"/>
        <v>Not Admitted</v>
      </c>
      <c r="AE199" s="2" t="str">
        <f t="shared" ca="1" si="26"/>
        <v>N/A</v>
      </c>
    </row>
    <row r="200" spans="1:31" x14ac:dyDescent="0.3">
      <c r="A200" t="s">
        <v>354</v>
      </c>
      <c r="B200" t="s">
        <v>195</v>
      </c>
      <c r="C200" t="s">
        <v>22</v>
      </c>
      <c r="D200">
        <v>50</v>
      </c>
      <c r="E200" t="str" cm="1">
        <f t="array" aca="1" ref="E200" ca="1">_xlfn.IFS(
H200="Cardiology",CHOOSE(RANDBETWEEN(1,6),"Hypertension","Arrhythmia","Angina","Heart Failure","Chest Pain","Coronary Artery Disease"),
H200="General Medicine",CHOOSE(RANDBETWEEN(1,6),"Viral Fever","Influenza","Diabetes","Gastritis","Typhoid","Food Poisoning"),
H200="Orthopedics",CHOOSE(RANDBETWEEN(1,6),"Fracture","Arthritis","Back Pain","Joint Pain","Knee Injury","Shoulder Dislocation"),
H200="Neurology",CHOOSE(RANDBETWEEN(1,6),"Migraine","Stroke","Epilepsy","Vertigo","Parkinson's Disease","Peripheral Neuropathy"),
H200="Pediatrics",CHOOSE(RANDBETWEEN(1,6),"Common Cold","Asthma","Pneumonia","Ear Infection","Viral Fever","Stomach Infection"),
H200="Dermatology",CHOOSE(RANDBETWEEN(1,6),"Acne","Eczema","Psoriasis","Fungal Infection","Heat Rash","Contact Dermatitis"),
H200="ENT",CHOOSE(RANDBETWEEN(1,6),"Sinusitis","Tonsillitis","Ear Infection","Throat Infection","Allergic Rhinitis","Otitis Media"),
H200="Gynecology",CHOOSE(RANDBETWEEN(1,6),"PCOS","UTI","Pregnancy Checkup","Menstrual Disorder","Ovarian Cyst","Endometriosis")
)</f>
        <v>Gastritis</v>
      </c>
      <c r="F200" t="str" cm="1">
        <f t="array" ref="F200">_xlfn.SWITCH(K200,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200" t="s">
        <v>53</v>
      </c>
      <c r="H200" t="s">
        <v>73</v>
      </c>
      <c r="I200" t="s">
        <v>74</v>
      </c>
      <c r="J200" s="1">
        <v>45909</v>
      </c>
      <c r="K200" t="str">
        <f t="shared" si="27"/>
        <v>September</v>
      </c>
      <c r="L200">
        <f t="shared" si="24"/>
        <v>9</v>
      </c>
      <c r="M200" t="s">
        <v>26</v>
      </c>
      <c r="N200" t="s">
        <v>27</v>
      </c>
      <c r="O200">
        <v>900</v>
      </c>
      <c r="P200">
        <v>1200</v>
      </c>
      <c r="Q200">
        <v>900</v>
      </c>
      <c r="R200">
        <v>0</v>
      </c>
      <c r="S200" t="s">
        <v>28</v>
      </c>
      <c r="T200" t="s">
        <v>50</v>
      </c>
      <c r="U200">
        <v>3000</v>
      </c>
      <c r="V200">
        <v>0</v>
      </c>
      <c r="W200">
        <v>4.7</v>
      </c>
      <c r="X200" t="s">
        <v>557</v>
      </c>
      <c r="Y200" t="s">
        <v>758</v>
      </c>
      <c r="Z200" s="1">
        <v>45909</v>
      </c>
      <c r="AA200" s="1">
        <f>Table1[[#This Row],[Admission_Date]]+Table1[[#This Row],[Length_of_Stay]]</f>
        <v>45909</v>
      </c>
      <c r="AB200" t="str">
        <f t="shared" ca="1" si="25"/>
        <v>N/A</v>
      </c>
      <c r="AC200" t="str">
        <f ca="1">IF(AB200="General Ward","GW"&amp;TEXT(COUNTIF($AB$2:AB200,"General Ward"),"000"),IF(AB200="Semi Private","SP"&amp;TEXT(COUNTIF($AB$2:AB200,"Semi Private"),"000"),IF(AB200="Private Room","PR"&amp;TEXT(COUNTIF($AB$2:AB200,"Private Room"),"000"),IF(AB200="ICU","ICU"&amp;TEXT(COUNTIF($AB$2:AB200,"ICU"),"000"),"N/A"))))</f>
        <v>N/A</v>
      </c>
      <c r="AD200" t="str">
        <f t="shared" ca="1" si="28"/>
        <v>Not Admitted</v>
      </c>
      <c r="AE200" s="2" t="str">
        <f t="shared" ca="1" si="26"/>
        <v>N/A</v>
      </c>
    </row>
    <row r="201" spans="1:31" x14ac:dyDescent="0.3">
      <c r="A201" t="s">
        <v>355</v>
      </c>
      <c r="B201" t="s">
        <v>155</v>
      </c>
      <c r="C201" t="s">
        <v>32</v>
      </c>
      <c r="D201">
        <v>31</v>
      </c>
      <c r="E201" t="str" cm="1">
        <f t="array" aca="1" ref="E201" ca="1">_xlfn.IFS(
H201="Cardiology",CHOOSE(RANDBETWEEN(1,6),"Hypertension","Arrhythmia","Angina","Heart Failure","Chest Pain","Coronary Artery Disease"),
H201="General Medicine",CHOOSE(RANDBETWEEN(1,6),"Viral Fever","Influenza","Diabetes","Gastritis","Typhoid","Food Poisoning"),
H201="Orthopedics",CHOOSE(RANDBETWEEN(1,6),"Fracture","Arthritis","Back Pain","Joint Pain","Knee Injury","Shoulder Dislocation"),
H201="Neurology",CHOOSE(RANDBETWEEN(1,6),"Migraine","Stroke","Epilepsy","Vertigo","Parkinson's Disease","Peripheral Neuropathy"),
H201="Pediatrics",CHOOSE(RANDBETWEEN(1,6),"Common Cold","Asthma","Pneumonia","Ear Infection","Viral Fever","Stomach Infection"),
H201="Dermatology",CHOOSE(RANDBETWEEN(1,6),"Acne","Eczema","Psoriasis","Fungal Infection","Heat Rash","Contact Dermatitis"),
H201="ENT",CHOOSE(RANDBETWEEN(1,6),"Sinusitis","Tonsillitis","Ear Infection","Throat Infection","Allergic Rhinitis","Otitis Media"),
H201="Gynecology",CHOOSE(RANDBETWEEN(1,6),"PCOS","UTI","Pregnancy Checkup","Menstrual Disorder","Ovarian Cyst","Endometriosis")
)</f>
        <v>UTI</v>
      </c>
      <c r="F201" t="str" cm="1">
        <f t="array" ref="F201">_xlfn.SWITCH(K201,
"January","Winter",
"February","Winter",
"March","Summer",
"April","Summer",
"May","Summer",
"June","Monsoon",
"July","Monsoon",
"August","Monsoon",
"September","Monsoon",
"October","Post-Monsoon",
"November","Post-Monsoon",
"December","Winter")</f>
        <v>Monsoon</v>
      </c>
      <c r="G201" t="s">
        <v>68</v>
      </c>
      <c r="H201" t="s">
        <v>34</v>
      </c>
      <c r="I201" t="s">
        <v>165</v>
      </c>
      <c r="J201" s="1">
        <v>45910</v>
      </c>
      <c r="K201" t="str">
        <f t="shared" si="27"/>
        <v>September</v>
      </c>
      <c r="L201">
        <f t="shared" si="24"/>
        <v>9</v>
      </c>
      <c r="M201" t="s">
        <v>26</v>
      </c>
      <c r="N201" t="s">
        <v>27</v>
      </c>
      <c r="O201">
        <v>1200</v>
      </c>
      <c r="P201">
        <v>900</v>
      </c>
      <c r="Q201">
        <v>700</v>
      </c>
      <c r="R201">
        <v>0</v>
      </c>
      <c r="S201" t="s">
        <v>28</v>
      </c>
      <c r="T201" t="s">
        <v>44</v>
      </c>
      <c r="U201">
        <v>2800</v>
      </c>
      <c r="V201">
        <v>0</v>
      </c>
      <c r="W201">
        <v>4.9000000000000004</v>
      </c>
      <c r="X201" t="s">
        <v>558</v>
      </c>
      <c r="Y201" t="s">
        <v>759</v>
      </c>
      <c r="Z201" s="1">
        <v>45910</v>
      </c>
      <c r="AA201" s="1">
        <f>Table1[[#This Row],[Admission_Date]]+Table1[[#This Row],[Length_of_Stay]]</f>
        <v>45910</v>
      </c>
      <c r="AB201" t="str">
        <f t="shared" ca="1" si="25"/>
        <v>N/A</v>
      </c>
      <c r="AC201" t="str">
        <f ca="1">IF(AB201="General Ward","GW"&amp;TEXT(COUNTIF($AB$2:AB201,"General Ward"),"000"),IF(AB201="Semi Private","SP"&amp;TEXT(COUNTIF($AB$2:AB201,"Semi Private"),"000"),IF(AB201="Private Room","PR"&amp;TEXT(COUNTIF($AB$2:AB201,"Private Room"),"000"),IF(AB201="ICU","ICU"&amp;TEXT(COUNTIF($AB$2:AB201,"ICU"),"000"),"N/A"))))</f>
        <v>N/A</v>
      </c>
      <c r="AD201" t="str">
        <f t="shared" ca="1" si="28"/>
        <v>Not Admitted</v>
      </c>
      <c r="AE201" s="2" t="str">
        <f t="shared" ca="1" si="26"/>
        <v>N/A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ramesh</dc:creator>
  <cp:lastModifiedBy>archana ramesh</cp:lastModifiedBy>
  <dcterms:created xsi:type="dcterms:W3CDTF">2026-06-23T13:29:25Z</dcterms:created>
  <dcterms:modified xsi:type="dcterms:W3CDTF">2026-06-26T14:14:46Z</dcterms:modified>
</cp:coreProperties>
</file>